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ínea a línea" sheetId="1" state="visible" r:id="rId3"/>
    <sheet name="Resumen por factura" sheetId="2" state="visible" r:id="rId4"/>
    <sheet name="Conciliación glob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<sst xmlns="http://schemas.openxmlformats.org/spreadsheetml/2006/main" count="606" uniqueCount="177">
  <si>
    <t xml:space="preserve">Factura</t>
  </si>
  <si>
    <t xml:space="preserve">Nº</t>
  </si>
  <si>
    <t xml:space="preserve">Material / concepto</t>
  </si>
  <si>
    <t xml:space="preserve">Importe TTI</t>
  </si>
  <si>
    <t xml:space="preserve">Destino</t>
  </si>
  <si>
    <t xml:space="preserve">% Rep.</t>
  </si>
  <si>
    <t xml:space="preserve">% Mej.</t>
  </si>
  <si>
    <t xml:space="preserve">% Fuera</t>
  </si>
  <si>
    <t xml:space="preserve">Imp. reparación</t>
  </si>
  <si>
    <t xml:space="preserve">Imp. mejora</t>
  </si>
  <si>
    <t xml:space="preserve">Imp. fuera</t>
  </si>
  <si>
    <t xml:space="preserve">Motivo</t>
  </si>
  <si>
    <t xml:space="preserve">Confianza</t>
  </si>
  <si>
    <t xml:space="preserve">399514 (228131) · 28/11/2023</t>
  </si>
  <si>
    <t xml:space="preserve">Montante EGA 46mm</t>
  </si>
  <si>
    <t xml:space="preserve">Mejora</t>
  </si>
  <si>
    <t xml:space="preserve">Tabiquería de pladur (división de baño + habitación nueva) — redistribución, art. 14</t>
  </si>
  <si>
    <t xml:space="preserve">Alta</t>
  </si>
  <si>
    <t xml:space="preserve">Yeso controlado YESODUR</t>
  </si>
  <si>
    <t xml:space="preserve">Mixto 50/50</t>
  </si>
  <si>
    <t xml:space="preserve">Material general (yeso/cemento/mortero/plaste); alisado (rep.) + obra nueva (mej.) — 50/50</t>
  </si>
  <si>
    <t xml:space="preserve">Media</t>
  </si>
  <si>
    <t xml:space="preserve">Cinta red autoadhesiva</t>
  </si>
  <si>
    <t xml:space="preserve">Cinta juntas</t>
  </si>
  <si>
    <t xml:space="preserve">Placa yeso acústica PPH 13mm</t>
  </si>
  <si>
    <t xml:space="preserve">Rollo esparto mezcla</t>
  </si>
  <si>
    <t xml:space="preserve">Pasta juntas Plakist</t>
  </si>
  <si>
    <t xml:space="preserve">Lad 12 huecos tabicón</t>
  </si>
  <si>
    <t xml:space="preserve">Escayola Indayola</t>
  </si>
  <si>
    <t xml:space="preserve">500 torn THTPF</t>
  </si>
  <si>
    <t xml:space="preserve">Canal EGA 46mm</t>
  </si>
  <si>
    <t xml:space="preserve">Mort autonivelante Aplicalevel</t>
  </si>
  <si>
    <t xml:space="preserve">Suelo laminado nuevo y su base — art. 14</t>
  </si>
  <si>
    <t xml:space="preserve">Lad hueco tabiquero</t>
  </si>
  <si>
    <t xml:space="preserve">Cemento Cementval</t>
  </si>
  <si>
    <t xml:space="preserve">Guardavivos yeso PVC</t>
  </si>
  <si>
    <t xml:space="preserve">500 torn tipo MM</t>
  </si>
  <si>
    <t xml:space="preserve">Panel Ultracoustic acústico</t>
  </si>
  <si>
    <t xml:space="preserve">Mort seco Aplicasec bco</t>
  </si>
  <si>
    <t xml:space="preserve">Lad macizo perforado</t>
  </si>
  <si>
    <t xml:space="preserve">Maestra EGA 70/30</t>
  </si>
  <si>
    <t xml:space="preserve">Placa yeso hidrófuga FK</t>
  </si>
  <si>
    <t xml:space="preserve">Rollo base suelo EVA</t>
  </si>
  <si>
    <t xml:space="preserve">Tapeta pta corredera</t>
  </si>
  <si>
    <t xml:space="preserve">Carpintería nueva (puertas/ventana) de la redistribución — art. 14 (prudente)</t>
  </si>
  <si>
    <t xml:space="preserve">Media-alta</t>
  </si>
  <si>
    <t xml:space="preserve">Kit 5 molduras ala</t>
  </si>
  <si>
    <t xml:space="preserve">Pta metálica ext VT5 Rob</t>
  </si>
  <si>
    <t xml:space="preserve">Rodapié suelo laminado</t>
  </si>
  <si>
    <t xml:space="preserve">Ventana PVC 100x115</t>
  </si>
  <si>
    <t xml:space="preserve">Suelo laminado clic AC4 8mm</t>
  </si>
  <si>
    <t xml:space="preserve">Pta block lac 72.5 (2u)</t>
  </si>
  <si>
    <t xml:space="preserve">Kit rail pta corredera</t>
  </si>
  <si>
    <t xml:space="preserve">Hoja lac 82.5</t>
  </si>
  <si>
    <t xml:space="preserve">Premarco kit</t>
  </si>
  <si>
    <t xml:space="preserve">Caja empo tab hueco</t>
  </si>
  <si>
    <t xml:space="preserve">Caja empo 1 mec tab hueco</t>
  </si>
  <si>
    <t xml:space="preserve">Hilo flex 1.5 vde/ama</t>
  </si>
  <si>
    <t xml:space="preserve">Material eléctrico; reposición existente + nueva habitación/baño — 50/50</t>
  </si>
  <si>
    <t xml:space="preserve">Hilo flex 2.5 az</t>
  </si>
  <si>
    <t xml:space="preserve">Hilo flex 2.5 ngr</t>
  </si>
  <si>
    <t xml:space="preserve">Hilo flex 1.5 ngr</t>
  </si>
  <si>
    <t xml:space="preserve">Downlight superf 20w (10u)</t>
  </si>
  <si>
    <t xml:space="preserve">Hilo flex 1.5 az</t>
  </si>
  <si>
    <t xml:space="preserve">Caja empo 2 mec tab hueco</t>
  </si>
  <si>
    <t xml:space="preserve">Downlight empo 18w (2u)</t>
  </si>
  <si>
    <t xml:space="preserve">Porcelánico 15x90 suelo</t>
  </si>
  <si>
    <t xml:space="preserve">Calzos 1mm</t>
  </si>
  <si>
    <t xml:space="preserve">Alicatado/cerámico; baño existente (rep.) + segundo baño (mej.) — 50/50</t>
  </si>
  <si>
    <t xml:space="preserve">Junta fina bco</t>
  </si>
  <si>
    <t xml:space="preserve">Perfil/listón aluminio</t>
  </si>
  <si>
    <t xml:space="preserve">Junta premium chocolate</t>
  </si>
  <si>
    <t xml:space="preserve">Webercol dur bco (15u)</t>
  </si>
  <si>
    <t xml:space="preserve">Mampara frontal fija 90</t>
  </si>
  <si>
    <t xml:space="preserve">Sanitario/grifería; 2 uds sin identificar baño existente vs. nuevo — 50/50</t>
  </si>
  <si>
    <t xml:space="preserve">Plato ducha resina 70x160</t>
  </si>
  <si>
    <t xml:space="preserve">Plato ducha resina 70x90</t>
  </si>
  <si>
    <t xml:space="preserve">Válvula desagüe ducha (2u)</t>
  </si>
  <si>
    <t xml:space="preserve">Monomando ducha Brooks (2u)</t>
  </si>
  <si>
    <t xml:space="preserve">Conjunto mueble baño Krono (2u)</t>
  </si>
  <si>
    <t xml:space="preserve">Monomando lavabo Brooks (2u)</t>
  </si>
  <si>
    <t xml:space="preserve">Pack WC Compaq (2u)</t>
  </si>
  <si>
    <t xml:space="preserve">Codo 45 50mm PVC</t>
  </si>
  <si>
    <t xml:space="preserve">Fontanería/saneamiento; baño existente (rep.) + segundo baño (mej.) — 50/50</t>
  </si>
  <si>
    <t xml:space="preserve">Codo 18mm latón</t>
  </si>
  <si>
    <t xml:space="preserve">Manguito 50mm PVC</t>
  </si>
  <si>
    <t xml:space="preserve">Codo 87 40mm PVC</t>
  </si>
  <si>
    <t xml:space="preserve">Llave escu corta</t>
  </si>
  <si>
    <t xml:space="preserve">Manguito 110mm PVC</t>
  </si>
  <si>
    <t xml:space="preserve">Tubo 110mm PVC</t>
  </si>
  <si>
    <t xml:space="preserve">Manguito 90-110 extens</t>
  </si>
  <si>
    <t xml:space="preserve">Manguito pasante cobre</t>
  </si>
  <si>
    <t xml:space="preserve">Tubo 40mm PVC</t>
  </si>
  <si>
    <t xml:space="preserve">Derivación 87 40mm PVC</t>
  </si>
  <si>
    <t xml:space="preserve">Barra 18mm cobre (2u)</t>
  </si>
  <si>
    <t xml:space="preserve">Codo 87 50mm PVC</t>
  </si>
  <si>
    <t xml:space="preserve">Adhesivo PVC-50</t>
  </si>
  <si>
    <t xml:space="preserve">Hilo teflón</t>
  </si>
  <si>
    <t xml:space="preserve">Sifón lavabo extens (2u)</t>
  </si>
  <si>
    <t xml:space="preserve">Llave escu 1/2</t>
  </si>
  <si>
    <t xml:space="preserve">Codo 87 110mm PVC</t>
  </si>
  <si>
    <t xml:space="preserve">Llave lav antical</t>
  </si>
  <si>
    <t xml:space="preserve">Bote sifón c/tapa</t>
  </si>
  <si>
    <t xml:space="preserve">Tapa 18mm cobre</t>
  </si>
  <si>
    <t xml:space="preserve">Hidrotubo 50mm</t>
  </si>
  <si>
    <t xml:space="preserve">Hidrotubo 40mm</t>
  </si>
  <si>
    <t xml:space="preserve">Codo 90 18mm cobre</t>
  </si>
  <si>
    <t xml:space="preserve">Válv lavabo c/tapón</t>
  </si>
  <si>
    <t xml:space="preserve">Derivación 87 110mm PVC</t>
  </si>
  <si>
    <t xml:space="preserve">Viga IPN S275JR 100x3000</t>
  </si>
  <si>
    <t xml:space="preserve">Elemento estructural (viga) para nuevo hueco — art. 14</t>
  </si>
  <si>
    <t xml:space="preserve">50 tacos duo</t>
  </si>
  <si>
    <t xml:space="preserve">Perfil unión adhes (suelo)</t>
  </si>
  <si>
    <t xml:space="preserve">Adhes montaje polímero</t>
  </si>
  <si>
    <t xml:space="preserve">Plaste int capa media</t>
  </si>
  <si>
    <t xml:space="preserve">Sellador acrílico madera</t>
  </si>
  <si>
    <t xml:space="preserve">Espuma poliuret vtna/pta</t>
  </si>
  <si>
    <t xml:space="preserve">Sellador acrílico juntas</t>
  </si>
  <si>
    <t xml:space="preserve">Silicona neutra baños</t>
  </si>
  <si>
    <t xml:space="preserve">Coste palet (2u)</t>
  </si>
  <si>
    <t xml:space="preserve">Logística (prorr.)</t>
  </si>
  <si>
    <t xml:space="preserve">Coste logístico — prorrateado según el peso reparación/mejora de la factura</t>
  </si>
  <si>
    <t xml:space="preserve">Transporte a domicilio</t>
  </si>
  <si>
    <t xml:space="preserve">Preparación mercancía</t>
  </si>
  <si>
    <t xml:space="preserve">404381 (228543) · 07/12/2023</t>
  </si>
  <si>
    <t xml:space="preserve">Lad 8 huecos tabicón</t>
  </si>
  <si>
    <t xml:space="preserve">Escayola Aislayola</t>
  </si>
  <si>
    <t xml:space="preserve">Caja empo 3 mec tab hueco</t>
  </si>
  <si>
    <t xml:space="preserve">Tubo corrugado 25mm 75m</t>
  </si>
  <si>
    <t xml:space="preserve">Tubo corrugado 20mm 100m</t>
  </si>
  <si>
    <t xml:space="preserve">Caja empo tapa garra</t>
  </si>
  <si>
    <t xml:space="preserve">Caja empo mec enlazable</t>
  </si>
  <si>
    <t xml:space="preserve">Caja empo tab hueco tapa torn</t>
  </si>
  <si>
    <t xml:space="preserve">Te 18mm cobre</t>
  </si>
  <si>
    <t xml:space="preserve">Manguito 18mm cobre</t>
  </si>
  <si>
    <t xml:space="preserve">Salto 18mm cobre</t>
  </si>
  <si>
    <t xml:space="preserve">424413 (229407) · 17/01/2024</t>
  </si>
  <si>
    <t xml:space="preserve">Yeso controlado</t>
  </si>
  <si>
    <t xml:space="preserve">Placa yeso acústica</t>
  </si>
  <si>
    <t xml:space="preserve">Cemento S/M</t>
  </si>
  <si>
    <t xml:space="preserve">1000 torn tipo PM</t>
  </si>
  <si>
    <t xml:space="preserve">Bolsa 100 cuñas madera</t>
  </si>
  <si>
    <t xml:space="preserve">Pta block VT5 62.5 izq</t>
  </si>
  <si>
    <t xml:space="preserve">Azulejo 25x50 Elia Pearl</t>
  </si>
  <si>
    <t xml:space="preserve">Azulejo 25x50 Elia decor</t>
  </si>
  <si>
    <t xml:space="preserve">Conj mueble baño mini 50</t>
  </si>
  <si>
    <t xml:space="preserve">Válvula desagüe ducha</t>
  </si>
  <si>
    <t xml:space="preserve">Monomando lavabo Nerea</t>
  </si>
  <si>
    <t xml:space="preserve">Termo eléctrico 75L Welcome</t>
  </si>
  <si>
    <t xml:space="preserve">Fuera</t>
  </si>
  <si>
    <t xml:space="preserve">Termo eléctrico — fuera por decisión prudente del contribuyente; no se reclama</t>
  </si>
  <si>
    <t xml:space="preserve">Juego roseta</t>
  </si>
  <si>
    <t xml:space="preserve">Pasta al temple liso</t>
  </si>
  <si>
    <t xml:space="preserve">Coste palet</t>
  </si>
  <si>
    <t xml:space="preserve">437264 (230379) · 08/02/2024</t>
  </si>
  <si>
    <t xml:space="preserve">Mort seco Aplicasec</t>
  </si>
  <si>
    <t xml:space="preserve">Cemento Cemex</t>
  </si>
  <si>
    <t xml:space="preserve">Webercol dur bco</t>
  </si>
  <si>
    <t xml:space="preserve">Plaste int capa gruesa Renov</t>
  </si>
  <si>
    <t xml:space="preserve">TOTAL</t>
  </si>
  <si>
    <t xml:space="preserve">Total TTI</t>
  </si>
  <si>
    <t xml:space="preserve">Reparación</t>
  </si>
  <si>
    <t xml:space="preserve">TOTAL OBRAMAT</t>
  </si>
  <si>
    <t xml:space="preserve">Bloque</t>
  </si>
  <si>
    <t xml:space="preserve">Importe (€)</t>
  </si>
  <si>
    <t xml:space="preserve">Fuera/no incl.</t>
  </si>
  <si>
    <t xml:space="preserve">Tratamiento</t>
  </si>
  <si>
    <t xml:space="preserve">Factura SB 014/2024 (mano de obra)</t>
  </si>
  <si>
    <t xml:space="preserve">Reparto certificado (no se modifica)</t>
  </si>
  <si>
    <t xml:space="preserve">OBRAMAT — 4 facturas (línea a línea)</t>
  </si>
  <si>
    <t xml:space="preserve">Clasificación línea a línea</t>
  </si>
  <si>
    <t xml:space="preserve">TOTAL POOL REFORMA</t>
  </si>
  <si>
    <t xml:space="preserve">Rep. deducible / Mej. amortizable 3%</t>
  </si>
  <si>
    <t xml:space="preserve">Mobiliario y equipamiento</t>
  </si>
  <si>
    <t xml:space="preserve">Amortizable 10% (bloque separado)</t>
  </si>
  <si>
    <t xml:space="preserve">TOTAL GLOBAL DOCUMENTADO</t>
  </si>
  <si>
    <t xml:space="preserve">Nota: el termo (109,00 €) está en la factura 424413 pero se excluye por decisión del contribuyente (columna Fuera). Los 4 satélites no aportados (404213, 407792, 452497, 452516 = 464,86 €) no se reclaman. El TOTAL GLOBAL incluye el termo como importe documentado aunque no se reclame fiscalmente.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</si>
</sst>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%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77777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777777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"/>
    <col collapsed="false" customWidth="true" hidden="false" outlineLevel="0" max="3" min="3" style="1" width="28"/>
    <col collapsed="false" customWidth="true" hidden="false" outlineLevel="0" max="4" min="4" style="1" width="11"/>
    <col collapsed="false" customWidth="true" hidden="false" outlineLevel="0" max="5" min="5" style="1" width="15"/>
    <col collapsed="false" customWidth="true" hidden="false" outlineLevel="0" max="8" min="6" style="1" width="7"/>
    <col collapsed="false" customWidth="true" hidden="false" outlineLevel="0" max="10" min="9" style="1" width="13"/>
    <col collapsed="false" customWidth="true" hidden="false" outlineLevel="0" max="11" min="11" style="1" width="11"/>
    <col collapsed="false" customWidth="true" hidden="false" outlineLevel="0" max="12" min="12" style="1" width="50"/>
    <col collapsed="false" customWidth="true" hidden="false" outlineLevel="0" max="13" min="13" style="1" width="1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21.75" hidden="false" customHeight="true" outlineLevel="0" collapsed="false">
      <c r="A2" s="3" t="s">
        <v>13</v>
      </c>
      <c r="B2" s="3" t="n">
        <v>1</v>
      </c>
      <c r="C2" s="4" t="s">
        <v>14</v>
      </c>
      <c r="D2" s="5" t="n">
        <v>58.11</v>
      </c>
      <c r="E2" s="6" t="s">
        <v>15</v>
      </c>
      <c r="F2" s="7" t="n">
        <v>0</v>
      </c>
      <c r="G2" s="7" t="n">
        <v>1</v>
      </c>
      <c r="H2" s="7" t="n">
        <v>0</v>
      </c>
      <c r="I2" s="5" t="n">
        <f aca="false">D2*F2</f>
        <v>0</v>
      </c>
      <c r="J2" s="5" t="n">
        <f aca="false">D2*G2</f>
        <v>58.11</v>
      </c>
      <c r="K2" s="5" t="n">
        <f aca="false">D2*H2</f>
        <v>0</v>
      </c>
      <c r="L2" s="4" t="s">
        <v>16</v>
      </c>
      <c r="M2" s="3" t="s">
        <v>17</v>
      </c>
    </row>
    <row r="3" customFormat="false" ht="21.75" hidden="false" customHeight="true" outlineLevel="0" collapsed="false">
      <c r="A3" s="3"/>
      <c r="B3" s="3" t="n">
        <v>2</v>
      </c>
      <c r="C3" s="4" t="s">
        <v>18</v>
      </c>
      <c r="D3" s="5" t="n">
        <v>15.2</v>
      </c>
      <c r="E3" s="8" t="s">
        <v>19</v>
      </c>
      <c r="F3" s="7" t="n">
        <v>0.5</v>
      </c>
      <c r="G3" s="7" t="n">
        <v>0.5</v>
      </c>
      <c r="H3" s="7" t="n">
        <v>0</v>
      </c>
      <c r="I3" s="5" t="n">
        <f aca="false">D3*F3</f>
        <v>7.6</v>
      </c>
      <c r="J3" s="5" t="n">
        <f aca="false">D3*G3</f>
        <v>7.6</v>
      </c>
      <c r="K3" s="5" t="n">
        <f aca="false">D3*H3</f>
        <v>0</v>
      </c>
      <c r="L3" s="4" t="s">
        <v>20</v>
      </c>
      <c r="M3" s="3" t="s">
        <v>21</v>
      </c>
    </row>
    <row r="4" customFormat="false" ht="21.75" hidden="false" customHeight="true" outlineLevel="0" collapsed="false">
      <c r="A4" s="3"/>
      <c r="B4" s="3" t="n">
        <v>3</v>
      </c>
      <c r="C4" s="4" t="s">
        <v>22</v>
      </c>
      <c r="D4" s="5" t="n">
        <v>7</v>
      </c>
      <c r="E4" s="6" t="s">
        <v>15</v>
      </c>
      <c r="F4" s="7" t="n">
        <v>0</v>
      </c>
      <c r="G4" s="7" t="n">
        <v>1</v>
      </c>
      <c r="H4" s="7" t="n">
        <v>0</v>
      </c>
      <c r="I4" s="5" t="n">
        <f aca="false">D4*F4</f>
        <v>0</v>
      </c>
      <c r="J4" s="5" t="n">
        <f aca="false">D4*G4</f>
        <v>7</v>
      </c>
      <c r="K4" s="5" t="n">
        <f aca="false">D4*H4</f>
        <v>0</v>
      </c>
      <c r="L4" s="4" t="s">
        <v>16</v>
      </c>
      <c r="M4" s="3" t="s">
        <v>17</v>
      </c>
    </row>
    <row r="5" customFormat="false" ht="21.75" hidden="false" customHeight="true" outlineLevel="0" collapsed="false">
      <c r="A5" s="3"/>
      <c r="B5" s="3" t="n">
        <v>4</v>
      </c>
      <c r="C5" s="4" t="s">
        <v>23</v>
      </c>
      <c r="D5" s="5" t="n">
        <v>3.6</v>
      </c>
      <c r="E5" s="6" t="s">
        <v>15</v>
      </c>
      <c r="F5" s="7" t="n">
        <v>0</v>
      </c>
      <c r="G5" s="7" t="n">
        <v>1</v>
      </c>
      <c r="H5" s="7" t="n">
        <v>0</v>
      </c>
      <c r="I5" s="5" t="n">
        <f aca="false">D5*F5</f>
        <v>0</v>
      </c>
      <c r="J5" s="5" t="n">
        <f aca="false">D5*G5</f>
        <v>3.6</v>
      </c>
      <c r="K5" s="5" t="n">
        <f aca="false">D5*H5</f>
        <v>0</v>
      </c>
      <c r="L5" s="4" t="s">
        <v>16</v>
      </c>
      <c r="M5" s="3" t="s">
        <v>17</v>
      </c>
    </row>
    <row r="6" customFormat="false" ht="21.75" hidden="false" customHeight="true" outlineLevel="0" collapsed="false">
      <c r="A6" s="3"/>
      <c r="B6" s="3" t="n">
        <v>5</v>
      </c>
      <c r="C6" s="4" t="s">
        <v>24</v>
      </c>
      <c r="D6" s="5" t="n">
        <v>339.66</v>
      </c>
      <c r="E6" s="6" t="s">
        <v>15</v>
      </c>
      <c r="F6" s="7" t="n">
        <v>0</v>
      </c>
      <c r="G6" s="7" t="n">
        <v>1</v>
      </c>
      <c r="H6" s="7" t="n">
        <v>0</v>
      </c>
      <c r="I6" s="5" t="n">
        <f aca="false">D6*F6</f>
        <v>0</v>
      </c>
      <c r="J6" s="5" t="n">
        <f aca="false">D6*G6</f>
        <v>339.66</v>
      </c>
      <c r="K6" s="5" t="n">
        <f aca="false">D6*H6</f>
        <v>0</v>
      </c>
      <c r="L6" s="4" t="s">
        <v>16</v>
      </c>
      <c r="M6" s="3" t="s">
        <v>17</v>
      </c>
    </row>
    <row r="7" customFormat="false" ht="21.75" hidden="false" customHeight="true" outlineLevel="0" collapsed="false">
      <c r="A7" s="3"/>
      <c r="B7" s="3" t="n">
        <v>6</v>
      </c>
      <c r="C7" s="4" t="s">
        <v>25</v>
      </c>
      <c r="D7" s="5" t="n">
        <v>4.95</v>
      </c>
      <c r="E7" s="8" t="s">
        <v>19</v>
      </c>
      <c r="F7" s="7" t="n">
        <v>0.5</v>
      </c>
      <c r="G7" s="7" t="n">
        <v>0.5</v>
      </c>
      <c r="H7" s="7" t="n">
        <v>0</v>
      </c>
      <c r="I7" s="5" t="n">
        <f aca="false">D7*F7</f>
        <v>2.475</v>
      </c>
      <c r="J7" s="5" t="n">
        <f aca="false">D7*G7</f>
        <v>2.475</v>
      </c>
      <c r="K7" s="5" t="n">
        <f aca="false">D7*H7</f>
        <v>0</v>
      </c>
      <c r="L7" s="4" t="s">
        <v>20</v>
      </c>
      <c r="M7" s="3" t="s">
        <v>21</v>
      </c>
    </row>
    <row r="8" customFormat="false" ht="21.75" hidden="false" customHeight="true" outlineLevel="0" collapsed="false">
      <c r="A8" s="3"/>
      <c r="B8" s="3" t="n">
        <v>7</v>
      </c>
      <c r="C8" s="4" t="s">
        <v>26</v>
      </c>
      <c r="D8" s="5" t="n">
        <v>23</v>
      </c>
      <c r="E8" s="6" t="s">
        <v>15</v>
      </c>
      <c r="F8" s="7" t="n">
        <v>0</v>
      </c>
      <c r="G8" s="7" t="n">
        <v>1</v>
      </c>
      <c r="H8" s="7" t="n">
        <v>0</v>
      </c>
      <c r="I8" s="5" t="n">
        <f aca="false">D8*F8</f>
        <v>0</v>
      </c>
      <c r="J8" s="5" t="n">
        <f aca="false">D8*G8</f>
        <v>23</v>
      </c>
      <c r="K8" s="5" t="n">
        <f aca="false">D8*H8</f>
        <v>0</v>
      </c>
      <c r="L8" s="4" t="s">
        <v>16</v>
      </c>
      <c r="M8" s="3" t="s">
        <v>17</v>
      </c>
    </row>
    <row r="9" customFormat="false" ht="21.75" hidden="false" customHeight="true" outlineLevel="0" collapsed="false">
      <c r="A9" s="3"/>
      <c r="B9" s="3" t="n">
        <v>8</v>
      </c>
      <c r="C9" s="4" t="s">
        <v>27</v>
      </c>
      <c r="D9" s="5" t="n">
        <v>3.48</v>
      </c>
      <c r="E9" s="6" t="s">
        <v>15</v>
      </c>
      <c r="F9" s="7" t="n">
        <v>0</v>
      </c>
      <c r="G9" s="7" t="n">
        <v>1</v>
      </c>
      <c r="H9" s="7" t="n">
        <v>0</v>
      </c>
      <c r="I9" s="5" t="n">
        <f aca="false">D9*F9</f>
        <v>0</v>
      </c>
      <c r="J9" s="5" t="n">
        <f aca="false">D9*G9</f>
        <v>3.48</v>
      </c>
      <c r="K9" s="5" t="n">
        <f aca="false">D9*H9</f>
        <v>0</v>
      </c>
      <c r="L9" s="4" t="s">
        <v>16</v>
      </c>
      <c r="M9" s="3" t="s">
        <v>17</v>
      </c>
    </row>
    <row r="10" customFormat="false" ht="21.75" hidden="false" customHeight="true" outlineLevel="0" collapsed="false">
      <c r="A10" s="3"/>
      <c r="B10" s="3" t="n">
        <v>9</v>
      </c>
      <c r="C10" s="4" t="s">
        <v>28</v>
      </c>
      <c r="D10" s="5" t="n">
        <v>5.8</v>
      </c>
      <c r="E10" s="8" t="s">
        <v>19</v>
      </c>
      <c r="F10" s="7" t="n">
        <v>0.5</v>
      </c>
      <c r="G10" s="7" t="n">
        <v>0.5</v>
      </c>
      <c r="H10" s="7" t="n">
        <v>0</v>
      </c>
      <c r="I10" s="5" t="n">
        <f aca="false">D10*F10</f>
        <v>2.9</v>
      </c>
      <c r="J10" s="5" t="n">
        <f aca="false">D10*G10</f>
        <v>2.9</v>
      </c>
      <c r="K10" s="5" t="n">
        <f aca="false">D10*H10</f>
        <v>0</v>
      </c>
      <c r="L10" s="4" t="s">
        <v>20</v>
      </c>
      <c r="M10" s="3" t="s">
        <v>21</v>
      </c>
    </row>
    <row r="11" customFormat="false" ht="21.75" hidden="false" customHeight="true" outlineLevel="0" collapsed="false">
      <c r="A11" s="3"/>
      <c r="B11" s="3" t="n">
        <v>10</v>
      </c>
      <c r="C11" s="4" t="s">
        <v>29</v>
      </c>
      <c r="D11" s="5" t="n">
        <v>32.3</v>
      </c>
      <c r="E11" s="6" t="s">
        <v>15</v>
      </c>
      <c r="F11" s="7" t="n">
        <v>0</v>
      </c>
      <c r="G11" s="7" t="n">
        <v>1</v>
      </c>
      <c r="H11" s="7" t="n">
        <v>0</v>
      </c>
      <c r="I11" s="5" t="n">
        <f aca="false">D11*F11</f>
        <v>0</v>
      </c>
      <c r="J11" s="5" t="n">
        <f aca="false">D11*G11</f>
        <v>32.3</v>
      </c>
      <c r="K11" s="5" t="n">
        <f aca="false">D11*H11</f>
        <v>0</v>
      </c>
      <c r="L11" s="4" t="s">
        <v>16</v>
      </c>
      <c r="M11" s="3" t="s">
        <v>17</v>
      </c>
    </row>
    <row r="12" customFormat="false" ht="21.75" hidden="false" customHeight="true" outlineLevel="0" collapsed="false">
      <c r="A12" s="3"/>
      <c r="B12" s="3" t="n">
        <v>11</v>
      </c>
      <c r="C12" s="4" t="s">
        <v>30</v>
      </c>
      <c r="D12" s="5" t="n">
        <v>69.53</v>
      </c>
      <c r="E12" s="6" t="s">
        <v>15</v>
      </c>
      <c r="F12" s="7" t="n">
        <v>0</v>
      </c>
      <c r="G12" s="7" t="n">
        <v>1</v>
      </c>
      <c r="H12" s="7" t="n">
        <v>0</v>
      </c>
      <c r="I12" s="5" t="n">
        <f aca="false">D12*F12</f>
        <v>0</v>
      </c>
      <c r="J12" s="5" t="n">
        <f aca="false">D12*G12</f>
        <v>69.53</v>
      </c>
      <c r="K12" s="5" t="n">
        <f aca="false">D12*H12</f>
        <v>0</v>
      </c>
      <c r="L12" s="4" t="s">
        <v>16</v>
      </c>
      <c r="M12" s="3" t="s">
        <v>17</v>
      </c>
    </row>
    <row r="13" customFormat="false" ht="15" hidden="false" customHeight="true" outlineLevel="0" collapsed="false">
      <c r="A13" s="3"/>
      <c r="B13" s="3" t="n">
        <v>12</v>
      </c>
      <c r="C13" s="4" t="s">
        <v>31</v>
      </c>
      <c r="D13" s="5" t="n">
        <v>22.2</v>
      </c>
      <c r="E13" s="6" t="s">
        <v>15</v>
      </c>
      <c r="F13" s="7" t="n">
        <v>0</v>
      </c>
      <c r="G13" s="7" t="n">
        <v>1</v>
      </c>
      <c r="H13" s="7" t="n">
        <v>0</v>
      </c>
      <c r="I13" s="5" t="n">
        <f aca="false">D13*F13</f>
        <v>0</v>
      </c>
      <c r="J13" s="5" t="n">
        <f aca="false">D13*G13</f>
        <v>22.2</v>
      </c>
      <c r="K13" s="5" t="n">
        <f aca="false">D13*H13</f>
        <v>0</v>
      </c>
      <c r="L13" s="4" t="s">
        <v>32</v>
      </c>
      <c r="M13" s="3" t="s">
        <v>17</v>
      </c>
    </row>
    <row r="14" customFormat="false" ht="21.75" hidden="false" customHeight="true" outlineLevel="0" collapsed="false">
      <c r="A14" s="3"/>
      <c r="B14" s="3" t="n">
        <v>13</v>
      </c>
      <c r="C14" s="4" t="s">
        <v>33</v>
      </c>
      <c r="D14" s="5" t="n">
        <v>2.5</v>
      </c>
      <c r="E14" s="6" t="s">
        <v>15</v>
      </c>
      <c r="F14" s="7" t="n">
        <v>0</v>
      </c>
      <c r="G14" s="7" t="n">
        <v>1</v>
      </c>
      <c r="H14" s="7" t="n">
        <v>0</v>
      </c>
      <c r="I14" s="5" t="n">
        <f aca="false">D14*F14</f>
        <v>0</v>
      </c>
      <c r="J14" s="5" t="n">
        <f aca="false">D14*G14</f>
        <v>2.5</v>
      </c>
      <c r="K14" s="5" t="n">
        <f aca="false">D14*H14</f>
        <v>0</v>
      </c>
      <c r="L14" s="4" t="s">
        <v>16</v>
      </c>
      <c r="M14" s="3" t="s">
        <v>17</v>
      </c>
    </row>
    <row r="15" customFormat="false" ht="21.75" hidden="false" customHeight="true" outlineLevel="0" collapsed="false">
      <c r="A15" s="3"/>
      <c r="B15" s="3" t="n">
        <v>14</v>
      </c>
      <c r="C15" s="4" t="s">
        <v>34</v>
      </c>
      <c r="D15" s="5" t="n">
        <v>17.5</v>
      </c>
      <c r="E15" s="8" t="s">
        <v>19</v>
      </c>
      <c r="F15" s="7" t="n">
        <v>0.5</v>
      </c>
      <c r="G15" s="7" t="n">
        <v>0.5</v>
      </c>
      <c r="H15" s="7" t="n">
        <v>0</v>
      </c>
      <c r="I15" s="5" t="n">
        <f aca="false">D15*F15</f>
        <v>8.75</v>
      </c>
      <c r="J15" s="5" t="n">
        <f aca="false">D15*G15</f>
        <v>8.75</v>
      </c>
      <c r="K15" s="5" t="n">
        <f aca="false">D15*H15</f>
        <v>0</v>
      </c>
      <c r="L15" s="4" t="s">
        <v>20</v>
      </c>
      <c r="M15" s="3" t="s">
        <v>21</v>
      </c>
    </row>
    <row r="16" customFormat="false" ht="21.75" hidden="false" customHeight="true" outlineLevel="0" collapsed="false">
      <c r="A16" s="3"/>
      <c r="B16" s="3" t="n">
        <v>15</v>
      </c>
      <c r="C16" s="4" t="s">
        <v>35</v>
      </c>
      <c r="D16" s="5" t="n">
        <v>9</v>
      </c>
      <c r="E16" s="6" t="s">
        <v>15</v>
      </c>
      <c r="F16" s="7" t="n">
        <v>0</v>
      </c>
      <c r="G16" s="7" t="n">
        <v>1</v>
      </c>
      <c r="H16" s="7" t="n">
        <v>0</v>
      </c>
      <c r="I16" s="5" t="n">
        <f aca="false">D16*F16</f>
        <v>0</v>
      </c>
      <c r="J16" s="5" t="n">
        <f aca="false">D16*G16</f>
        <v>9</v>
      </c>
      <c r="K16" s="5" t="n">
        <f aca="false">D16*H16</f>
        <v>0</v>
      </c>
      <c r="L16" s="4" t="s">
        <v>16</v>
      </c>
      <c r="M16" s="3" t="s">
        <v>17</v>
      </c>
    </row>
    <row r="17" customFormat="false" ht="21.75" hidden="false" customHeight="true" outlineLevel="0" collapsed="false">
      <c r="A17" s="3"/>
      <c r="B17" s="3" t="n">
        <v>16</v>
      </c>
      <c r="C17" s="4" t="s">
        <v>36</v>
      </c>
      <c r="D17" s="5" t="n">
        <v>3.33</v>
      </c>
      <c r="E17" s="6" t="s">
        <v>15</v>
      </c>
      <c r="F17" s="7" t="n">
        <v>0</v>
      </c>
      <c r="G17" s="7" t="n">
        <v>1</v>
      </c>
      <c r="H17" s="7" t="n">
        <v>0</v>
      </c>
      <c r="I17" s="5" t="n">
        <f aca="false">D17*F17</f>
        <v>0</v>
      </c>
      <c r="J17" s="5" t="n">
        <f aca="false">D17*G17</f>
        <v>3.33</v>
      </c>
      <c r="K17" s="5" t="n">
        <f aca="false">D17*H17</f>
        <v>0</v>
      </c>
      <c r="L17" s="4" t="s">
        <v>16</v>
      </c>
      <c r="M17" s="3" t="s">
        <v>17</v>
      </c>
    </row>
    <row r="18" customFormat="false" ht="21.75" hidden="false" customHeight="true" outlineLevel="0" collapsed="false">
      <c r="A18" s="3"/>
      <c r="B18" s="3" t="n">
        <v>17</v>
      </c>
      <c r="C18" s="4" t="s">
        <v>37</v>
      </c>
      <c r="D18" s="5" t="n">
        <v>79.47</v>
      </c>
      <c r="E18" s="6" t="s">
        <v>15</v>
      </c>
      <c r="F18" s="7" t="n">
        <v>0</v>
      </c>
      <c r="G18" s="7" t="n">
        <v>1</v>
      </c>
      <c r="H18" s="7" t="n">
        <v>0</v>
      </c>
      <c r="I18" s="5" t="n">
        <f aca="false">D18*F18</f>
        <v>0</v>
      </c>
      <c r="J18" s="5" t="n">
        <f aca="false">D18*G18</f>
        <v>79.47</v>
      </c>
      <c r="K18" s="5" t="n">
        <f aca="false">D18*H18</f>
        <v>0</v>
      </c>
      <c r="L18" s="4" t="s">
        <v>16</v>
      </c>
      <c r="M18" s="3" t="s">
        <v>17</v>
      </c>
    </row>
    <row r="19" customFormat="false" ht="21.75" hidden="false" customHeight="true" outlineLevel="0" collapsed="false">
      <c r="A19" s="3"/>
      <c r="B19" s="3" t="n">
        <v>18</v>
      </c>
      <c r="C19" s="4" t="s">
        <v>38</v>
      </c>
      <c r="D19" s="5" t="n">
        <v>17.43</v>
      </c>
      <c r="E19" s="8" t="s">
        <v>19</v>
      </c>
      <c r="F19" s="7" t="n">
        <v>0.5</v>
      </c>
      <c r="G19" s="7" t="n">
        <v>0.5</v>
      </c>
      <c r="H19" s="7" t="n">
        <v>0</v>
      </c>
      <c r="I19" s="5" t="n">
        <f aca="false">D19*F19</f>
        <v>8.715</v>
      </c>
      <c r="J19" s="5" t="n">
        <f aca="false">D19*G19</f>
        <v>8.715</v>
      </c>
      <c r="K19" s="5" t="n">
        <f aca="false">D19*H19</f>
        <v>0</v>
      </c>
      <c r="L19" s="4" t="s">
        <v>20</v>
      </c>
      <c r="M19" s="3" t="s">
        <v>21</v>
      </c>
    </row>
    <row r="20" customFormat="false" ht="21.75" hidden="false" customHeight="true" outlineLevel="0" collapsed="false">
      <c r="A20" s="3"/>
      <c r="B20" s="3" t="n">
        <v>19</v>
      </c>
      <c r="C20" s="4" t="s">
        <v>39</v>
      </c>
      <c r="D20" s="5" t="n">
        <v>3.36</v>
      </c>
      <c r="E20" s="6" t="s">
        <v>15</v>
      </c>
      <c r="F20" s="7" t="n">
        <v>0</v>
      </c>
      <c r="G20" s="7" t="n">
        <v>1</v>
      </c>
      <c r="H20" s="7" t="n">
        <v>0</v>
      </c>
      <c r="I20" s="5" t="n">
        <f aca="false">D20*F20</f>
        <v>0</v>
      </c>
      <c r="J20" s="5" t="n">
        <f aca="false">D20*G20</f>
        <v>3.36</v>
      </c>
      <c r="K20" s="5" t="n">
        <f aca="false">D20*H20</f>
        <v>0</v>
      </c>
      <c r="L20" s="4" t="s">
        <v>16</v>
      </c>
      <c r="M20" s="3" t="s">
        <v>17</v>
      </c>
    </row>
    <row r="21" customFormat="false" ht="21.75" hidden="false" customHeight="true" outlineLevel="0" collapsed="false">
      <c r="A21" s="3"/>
      <c r="B21" s="3" t="n">
        <v>20</v>
      </c>
      <c r="C21" s="4" t="s">
        <v>40</v>
      </c>
      <c r="D21" s="5" t="n">
        <v>21.18</v>
      </c>
      <c r="E21" s="6" t="s">
        <v>15</v>
      </c>
      <c r="F21" s="7" t="n">
        <v>0</v>
      </c>
      <c r="G21" s="7" t="n">
        <v>1</v>
      </c>
      <c r="H21" s="7" t="n">
        <v>0</v>
      </c>
      <c r="I21" s="5" t="n">
        <f aca="false">D21*F21</f>
        <v>0</v>
      </c>
      <c r="J21" s="5" t="n">
        <f aca="false">D21*G21</f>
        <v>21.18</v>
      </c>
      <c r="K21" s="5" t="n">
        <f aca="false">D21*H21</f>
        <v>0</v>
      </c>
      <c r="L21" s="4" t="s">
        <v>16</v>
      </c>
      <c r="M21" s="3" t="s">
        <v>17</v>
      </c>
    </row>
    <row r="22" customFormat="false" ht="21.75" hidden="false" customHeight="true" outlineLevel="0" collapsed="false">
      <c r="A22" s="3"/>
      <c r="B22" s="3" t="n">
        <v>21</v>
      </c>
      <c r="C22" s="4" t="s">
        <v>41</v>
      </c>
      <c r="D22" s="5" t="n">
        <v>71.6</v>
      </c>
      <c r="E22" s="6" t="s">
        <v>15</v>
      </c>
      <c r="F22" s="7" t="n">
        <v>0</v>
      </c>
      <c r="G22" s="7" t="n">
        <v>1</v>
      </c>
      <c r="H22" s="7" t="n">
        <v>0</v>
      </c>
      <c r="I22" s="5" t="n">
        <f aca="false">D22*F22</f>
        <v>0</v>
      </c>
      <c r="J22" s="5" t="n">
        <f aca="false">D22*G22</f>
        <v>71.6</v>
      </c>
      <c r="K22" s="5" t="n">
        <f aca="false">D22*H22</f>
        <v>0</v>
      </c>
      <c r="L22" s="4" t="s">
        <v>16</v>
      </c>
      <c r="M22" s="3" t="s">
        <v>17</v>
      </c>
    </row>
    <row r="23" customFormat="false" ht="15" hidden="false" customHeight="true" outlineLevel="0" collapsed="false">
      <c r="A23" s="3"/>
      <c r="B23" s="3" t="n">
        <v>22</v>
      </c>
      <c r="C23" s="4" t="s">
        <v>42</v>
      </c>
      <c r="D23" s="5" t="n">
        <v>163.68</v>
      </c>
      <c r="E23" s="6" t="s">
        <v>15</v>
      </c>
      <c r="F23" s="7" t="n">
        <v>0</v>
      </c>
      <c r="G23" s="7" t="n">
        <v>1</v>
      </c>
      <c r="H23" s="7" t="n">
        <v>0</v>
      </c>
      <c r="I23" s="5" t="n">
        <f aca="false">D23*F23</f>
        <v>0</v>
      </c>
      <c r="J23" s="5" t="n">
        <f aca="false">D23*G23</f>
        <v>163.68</v>
      </c>
      <c r="K23" s="5" t="n">
        <f aca="false">D23*H23</f>
        <v>0</v>
      </c>
      <c r="L23" s="4" t="s">
        <v>32</v>
      </c>
      <c r="M23" s="3" t="s">
        <v>17</v>
      </c>
    </row>
    <row r="24" customFormat="false" ht="21.75" hidden="false" customHeight="true" outlineLevel="0" collapsed="false">
      <c r="A24" s="3"/>
      <c r="B24" s="3" t="n">
        <v>23</v>
      </c>
      <c r="C24" s="4" t="s">
        <v>43</v>
      </c>
      <c r="D24" s="5" t="n">
        <v>46</v>
      </c>
      <c r="E24" s="6" t="s">
        <v>15</v>
      </c>
      <c r="F24" s="7" t="n">
        <v>0</v>
      </c>
      <c r="G24" s="7" t="n">
        <v>1</v>
      </c>
      <c r="H24" s="7" t="n">
        <v>0</v>
      </c>
      <c r="I24" s="5" t="n">
        <f aca="false">D24*F24</f>
        <v>0</v>
      </c>
      <c r="J24" s="5" t="n">
        <f aca="false">D24*G24</f>
        <v>46</v>
      </c>
      <c r="K24" s="5" t="n">
        <f aca="false">D24*H24</f>
        <v>0</v>
      </c>
      <c r="L24" s="4" t="s">
        <v>44</v>
      </c>
      <c r="M24" s="3" t="s">
        <v>45</v>
      </c>
    </row>
    <row r="25" customFormat="false" ht="21.75" hidden="false" customHeight="true" outlineLevel="0" collapsed="false">
      <c r="A25" s="3"/>
      <c r="B25" s="3" t="n">
        <v>24</v>
      </c>
      <c r="C25" s="4" t="s">
        <v>46</v>
      </c>
      <c r="D25" s="5" t="n">
        <v>39.9</v>
      </c>
      <c r="E25" s="6" t="s">
        <v>15</v>
      </c>
      <c r="F25" s="7" t="n">
        <v>0</v>
      </c>
      <c r="G25" s="7" t="n">
        <v>1</v>
      </c>
      <c r="H25" s="7" t="n">
        <v>0</v>
      </c>
      <c r="I25" s="5" t="n">
        <f aca="false">D25*F25</f>
        <v>0</v>
      </c>
      <c r="J25" s="5" t="n">
        <f aca="false">D25*G25</f>
        <v>39.9</v>
      </c>
      <c r="K25" s="5" t="n">
        <f aca="false">D25*H25</f>
        <v>0</v>
      </c>
      <c r="L25" s="4" t="s">
        <v>44</v>
      </c>
      <c r="M25" s="3" t="s">
        <v>45</v>
      </c>
    </row>
    <row r="26" customFormat="false" ht="21.75" hidden="false" customHeight="true" outlineLevel="0" collapsed="false">
      <c r="A26" s="3"/>
      <c r="B26" s="3" t="n">
        <v>25</v>
      </c>
      <c r="C26" s="4" t="s">
        <v>47</v>
      </c>
      <c r="D26" s="5" t="n">
        <v>310</v>
      </c>
      <c r="E26" s="6" t="s">
        <v>15</v>
      </c>
      <c r="F26" s="7" t="n">
        <v>0</v>
      </c>
      <c r="G26" s="7" t="n">
        <v>1</v>
      </c>
      <c r="H26" s="7" t="n">
        <v>0</v>
      </c>
      <c r="I26" s="5" t="n">
        <f aca="false">D26*F26</f>
        <v>0</v>
      </c>
      <c r="J26" s="5" t="n">
        <f aca="false">D26*G26</f>
        <v>310</v>
      </c>
      <c r="K26" s="5" t="n">
        <f aca="false">D26*H26</f>
        <v>0</v>
      </c>
      <c r="L26" s="4" t="s">
        <v>44</v>
      </c>
      <c r="M26" s="3" t="s">
        <v>45</v>
      </c>
    </row>
    <row r="27" customFormat="false" ht="15" hidden="false" customHeight="true" outlineLevel="0" collapsed="false">
      <c r="A27" s="3"/>
      <c r="B27" s="3" t="n">
        <v>26</v>
      </c>
      <c r="C27" s="4" t="s">
        <v>48</v>
      </c>
      <c r="D27" s="5" t="n">
        <v>209.25</v>
      </c>
      <c r="E27" s="6" t="s">
        <v>15</v>
      </c>
      <c r="F27" s="7" t="n">
        <v>0</v>
      </c>
      <c r="G27" s="7" t="n">
        <v>1</v>
      </c>
      <c r="H27" s="7" t="n">
        <v>0</v>
      </c>
      <c r="I27" s="5" t="n">
        <f aca="false">D27*F27</f>
        <v>0</v>
      </c>
      <c r="J27" s="5" t="n">
        <f aca="false">D27*G27</f>
        <v>209.25</v>
      </c>
      <c r="K27" s="5" t="n">
        <f aca="false">D27*H27</f>
        <v>0</v>
      </c>
      <c r="L27" s="4" t="s">
        <v>32</v>
      </c>
      <c r="M27" s="3" t="s">
        <v>17</v>
      </c>
    </row>
    <row r="28" customFormat="false" ht="21.75" hidden="false" customHeight="true" outlineLevel="0" collapsed="false">
      <c r="A28" s="3"/>
      <c r="B28" s="3" t="n">
        <v>27</v>
      </c>
      <c r="C28" s="4" t="s">
        <v>49</v>
      </c>
      <c r="D28" s="5" t="n">
        <v>169</v>
      </c>
      <c r="E28" s="6" t="s">
        <v>15</v>
      </c>
      <c r="F28" s="7" t="n">
        <v>0</v>
      </c>
      <c r="G28" s="7" t="n">
        <v>1</v>
      </c>
      <c r="H28" s="7" t="n">
        <v>0</v>
      </c>
      <c r="I28" s="5" t="n">
        <f aca="false">D28*F28</f>
        <v>0</v>
      </c>
      <c r="J28" s="5" t="n">
        <f aca="false">D28*G28</f>
        <v>169</v>
      </c>
      <c r="K28" s="5" t="n">
        <f aca="false">D28*H28</f>
        <v>0</v>
      </c>
      <c r="L28" s="4" t="s">
        <v>44</v>
      </c>
      <c r="M28" s="3" t="s">
        <v>45</v>
      </c>
    </row>
    <row r="29" customFormat="false" ht="15" hidden="false" customHeight="true" outlineLevel="0" collapsed="false">
      <c r="A29" s="3"/>
      <c r="B29" s="3" t="n">
        <v>28</v>
      </c>
      <c r="C29" s="4" t="s">
        <v>50</v>
      </c>
      <c r="D29" s="5" t="n">
        <v>659.4</v>
      </c>
      <c r="E29" s="6" t="s">
        <v>15</v>
      </c>
      <c r="F29" s="7" t="n">
        <v>0</v>
      </c>
      <c r="G29" s="7" t="n">
        <v>1</v>
      </c>
      <c r="H29" s="7" t="n">
        <v>0</v>
      </c>
      <c r="I29" s="5" t="n">
        <f aca="false">D29*F29</f>
        <v>0</v>
      </c>
      <c r="J29" s="5" t="n">
        <f aca="false">D29*G29</f>
        <v>659.4</v>
      </c>
      <c r="K29" s="5" t="n">
        <f aca="false">D29*H29</f>
        <v>0</v>
      </c>
      <c r="L29" s="4" t="s">
        <v>32</v>
      </c>
      <c r="M29" s="3" t="s">
        <v>17</v>
      </c>
    </row>
    <row r="30" customFormat="false" ht="21.75" hidden="false" customHeight="true" outlineLevel="0" collapsed="false">
      <c r="A30" s="3"/>
      <c r="B30" s="3" t="n">
        <v>29</v>
      </c>
      <c r="C30" s="4" t="s">
        <v>51</v>
      </c>
      <c r="D30" s="5" t="n">
        <v>197.6</v>
      </c>
      <c r="E30" s="6" t="s">
        <v>15</v>
      </c>
      <c r="F30" s="7" t="n">
        <v>0</v>
      </c>
      <c r="G30" s="7" t="n">
        <v>1</v>
      </c>
      <c r="H30" s="7" t="n">
        <v>0</v>
      </c>
      <c r="I30" s="5" t="n">
        <f aca="false">D30*F30</f>
        <v>0</v>
      </c>
      <c r="J30" s="5" t="n">
        <f aca="false">D30*G30</f>
        <v>197.6</v>
      </c>
      <c r="K30" s="5" t="n">
        <f aca="false">D30*H30</f>
        <v>0</v>
      </c>
      <c r="L30" s="4" t="s">
        <v>44</v>
      </c>
      <c r="M30" s="3" t="s">
        <v>45</v>
      </c>
    </row>
    <row r="31" customFormat="false" ht="21.75" hidden="false" customHeight="true" outlineLevel="0" collapsed="false">
      <c r="A31" s="3"/>
      <c r="B31" s="3" t="n">
        <v>30</v>
      </c>
      <c r="C31" s="4" t="s">
        <v>52</v>
      </c>
      <c r="D31" s="5" t="n">
        <v>83.7</v>
      </c>
      <c r="E31" s="6" t="s">
        <v>15</v>
      </c>
      <c r="F31" s="7" t="n">
        <v>0</v>
      </c>
      <c r="G31" s="7" t="n">
        <v>1</v>
      </c>
      <c r="H31" s="7" t="n">
        <v>0</v>
      </c>
      <c r="I31" s="5" t="n">
        <f aca="false">D31*F31</f>
        <v>0</v>
      </c>
      <c r="J31" s="5" t="n">
        <f aca="false">D31*G31</f>
        <v>83.7</v>
      </c>
      <c r="K31" s="5" t="n">
        <f aca="false">D31*H31</f>
        <v>0</v>
      </c>
      <c r="L31" s="4" t="s">
        <v>44</v>
      </c>
      <c r="M31" s="3" t="s">
        <v>45</v>
      </c>
    </row>
    <row r="32" customFormat="false" ht="21.75" hidden="false" customHeight="true" outlineLevel="0" collapsed="false">
      <c r="A32" s="3"/>
      <c r="B32" s="3" t="n">
        <v>31</v>
      </c>
      <c r="C32" s="4" t="s">
        <v>53</v>
      </c>
      <c r="D32" s="5" t="n">
        <v>76.63</v>
      </c>
      <c r="E32" s="6" t="s">
        <v>15</v>
      </c>
      <c r="F32" s="7" t="n">
        <v>0</v>
      </c>
      <c r="G32" s="7" t="n">
        <v>1</v>
      </c>
      <c r="H32" s="7" t="n">
        <v>0</v>
      </c>
      <c r="I32" s="5" t="n">
        <f aca="false">D32*F32</f>
        <v>0</v>
      </c>
      <c r="J32" s="5" t="n">
        <f aca="false">D32*G32</f>
        <v>76.63</v>
      </c>
      <c r="K32" s="5" t="n">
        <f aca="false">D32*H32</f>
        <v>0</v>
      </c>
      <c r="L32" s="4" t="s">
        <v>44</v>
      </c>
      <c r="M32" s="3" t="s">
        <v>45</v>
      </c>
    </row>
    <row r="33" customFormat="false" ht="21.75" hidden="false" customHeight="true" outlineLevel="0" collapsed="false">
      <c r="A33" s="3"/>
      <c r="B33" s="3" t="n">
        <v>32</v>
      </c>
      <c r="C33" s="4" t="s">
        <v>54</v>
      </c>
      <c r="D33" s="5" t="n">
        <v>45.1</v>
      </c>
      <c r="E33" s="6" t="s">
        <v>15</v>
      </c>
      <c r="F33" s="7" t="n">
        <v>0</v>
      </c>
      <c r="G33" s="7" t="n">
        <v>1</v>
      </c>
      <c r="H33" s="7" t="n">
        <v>0</v>
      </c>
      <c r="I33" s="5" t="n">
        <f aca="false">D33*F33</f>
        <v>0</v>
      </c>
      <c r="J33" s="5" t="n">
        <f aca="false">D33*G33</f>
        <v>45.1</v>
      </c>
      <c r="K33" s="5" t="n">
        <f aca="false">D33*H33</f>
        <v>0</v>
      </c>
      <c r="L33" s="4" t="s">
        <v>44</v>
      </c>
      <c r="M33" s="3" t="s">
        <v>45</v>
      </c>
    </row>
    <row r="34" customFormat="false" ht="21.75" hidden="false" customHeight="true" outlineLevel="0" collapsed="false">
      <c r="A34" s="3"/>
      <c r="B34" s="3" t="n">
        <v>33</v>
      </c>
      <c r="C34" s="4" t="s">
        <v>55</v>
      </c>
      <c r="D34" s="5" t="n">
        <v>9.16</v>
      </c>
      <c r="E34" s="6" t="s">
        <v>15</v>
      </c>
      <c r="F34" s="7" t="n">
        <v>0</v>
      </c>
      <c r="G34" s="7" t="n">
        <v>1</v>
      </c>
      <c r="H34" s="7" t="n">
        <v>0</v>
      </c>
      <c r="I34" s="5" t="n">
        <f aca="false">D34*F34</f>
        <v>0</v>
      </c>
      <c r="J34" s="5" t="n">
        <f aca="false">D34*G34</f>
        <v>9.16</v>
      </c>
      <c r="K34" s="5" t="n">
        <f aca="false">D34*H34</f>
        <v>0</v>
      </c>
      <c r="L34" s="4" t="s">
        <v>16</v>
      </c>
      <c r="M34" s="3" t="s">
        <v>17</v>
      </c>
    </row>
    <row r="35" customFormat="false" ht="21.75" hidden="false" customHeight="true" outlineLevel="0" collapsed="false">
      <c r="A35" s="3"/>
      <c r="B35" s="3" t="n">
        <v>34</v>
      </c>
      <c r="C35" s="4" t="s">
        <v>56</v>
      </c>
      <c r="D35" s="5" t="n">
        <v>3.45</v>
      </c>
      <c r="E35" s="6" t="s">
        <v>15</v>
      </c>
      <c r="F35" s="7" t="n">
        <v>0</v>
      </c>
      <c r="G35" s="7" t="n">
        <v>1</v>
      </c>
      <c r="H35" s="7" t="n">
        <v>0</v>
      </c>
      <c r="I35" s="5" t="n">
        <f aca="false">D35*F35</f>
        <v>0</v>
      </c>
      <c r="J35" s="5" t="n">
        <f aca="false">D35*G35</f>
        <v>3.45</v>
      </c>
      <c r="K35" s="5" t="n">
        <f aca="false">D35*H35</f>
        <v>0</v>
      </c>
      <c r="L35" s="4" t="s">
        <v>16</v>
      </c>
      <c r="M35" s="3" t="s">
        <v>17</v>
      </c>
    </row>
    <row r="36" customFormat="false" ht="21.75" hidden="false" customHeight="true" outlineLevel="0" collapsed="false">
      <c r="A36" s="3"/>
      <c r="B36" s="3" t="n">
        <v>35</v>
      </c>
      <c r="C36" s="4" t="s">
        <v>57</v>
      </c>
      <c r="D36" s="5" t="n">
        <v>32.3</v>
      </c>
      <c r="E36" s="8" t="s">
        <v>19</v>
      </c>
      <c r="F36" s="7" t="n">
        <v>0.5</v>
      </c>
      <c r="G36" s="7" t="n">
        <v>0.5</v>
      </c>
      <c r="H36" s="7" t="n">
        <v>0</v>
      </c>
      <c r="I36" s="5" t="n">
        <f aca="false">D36*F36</f>
        <v>16.15</v>
      </c>
      <c r="J36" s="5" t="n">
        <f aca="false">D36*G36</f>
        <v>16.15</v>
      </c>
      <c r="K36" s="5" t="n">
        <f aca="false">D36*H36</f>
        <v>0</v>
      </c>
      <c r="L36" s="4" t="s">
        <v>58</v>
      </c>
      <c r="M36" s="3" t="s">
        <v>21</v>
      </c>
    </row>
    <row r="37" customFormat="false" ht="21.75" hidden="false" customHeight="true" outlineLevel="0" collapsed="false">
      <c r="A37" s="3"/>
      <c r="B37" s="3" t="n">
        <v>36</v>
      </c>
      <c r="C37" s="4" t="s">
        <v>59</v>
      </c>
      <c r="D37" s="5" t="n">
        <v>28.77</v>
      </c>
      <c r="E37" s="8" t="s">
        <v>19</v>
      </c>
      <c r="F37" s="7" t="n">
        <v>0.5</v>
      </c>
      <c r="G37" s="7" t="n">
        <v>0.5</v>
      </c>
      <c r="H37" s="7" t="n">
        <v>0</v>
      </c>
      <c r="I37" s="5" t="n">
        <f aca="false">D37*F37</f>
        <v>14.385</v>
      </c>
      <c r="J37" s="5" t="n">
        <f aca="false">D37*G37</f>
        <v>14.385</v>
      </c>
      <c r="K37" s="5" t="n">
        <f aca="false">D37*H37</f>
        <v>0</v>
      </c>
      <c r="L37" s="4" t="s">
        <v>58</v>
      </c>
      <c r="M37" s="3" t="s">
        <v>21</v>
      </c>
    </row>
    <row r="38" customFormat="false" ht="21.75" hidden="false" customHeight="true" outlineLevel="0" collapsed="false">
      <c r="A38" s="3"/>
      <c r="B38" s="3" t="n">
        <v>37</v>
      </c>
      <c r="C38" s="4" t="s">
        <v>60</v>
      </c>
      <c r="D38" s="5" t="n">
        <v>28.77</v>
      </c>
      <c r="E38" s="8" t="s">
        <v>19</v>
      </c>
      <c r="F38" s="7" t="n">
        <v>0.5</v>
      </c>
      <c r="G38" s="7" t="n">
        <v>0.5</v>
      </c>
      <c r="H38" s="7" t="n">
        <v>0</v>
      </c>
      <c r="I38" s="5" t="n">
        <f aca="false">D38*F38</f>
        <v>14.385</v>
      </c>
      <c r="J38" s="5" t="n">
        <f aca="false">D38*G38</f>
        <v>14.385</v>
      </c>
      <c r="K38" s="5" t="n">
        <f aca="false">D38*H38</f>
        <v>0</v>
      </c>
      <c r="L38" s="4" t="s">
        <v>58</v>
      </c>
      <c r="M38" s="3" t="s">
        <v>21</v>
      </c>
    </row>
    <row r="39" customFormat="false" ht="21.75" hidden="false" customHeight="true" outlineLevel="0" collapsed="false">
      <c r="A39" s="3"/>
      <c r="B39" s="3" t="n">
        <v>38</v>
      </c>
      <c r="C39" s="4" t="s">
        <v>61</v>
      </c>
      <c r="D39" s="5" t="n">
        <v>32.3</v>
      </c>
      <c r="E39" s="8" t="s">
        <v>19</v>
      </c>
      <c r="F39" s="7" t="n">
        <v>0.5</v>
      </c>
      <c r="G39" s="7" t="n">
        <v>0.5</v>
      </c>
      <c r="H39" s="7" t="n">
        <v>0</v>
      </c>
      <c r="I39" s="5" t="n">
        <f aca="false">D39*F39</f>
        <v>16.15</v>
      </c>
      <c r="J39" s="5" t="n">
        <f aca="false">D39*G39</f>
        <v>16.15</v>
      </c>
      <c r="K39" s="5" t="n">
        <f aca="false">D39*H39</f>
        <v>0</v>
      </c>
      <c r="L39" s="4" t="s">
        <v>58</v>
      </c>
      <c r="M39" s="3" t="s">
        <v>21</v>
      </c>
    </row>
    <row r="40" customFormat="false" ht="21.75" hidden="false" customHeight="true" outlineLevel="0" collapsed="false">
      <c r="A40" s="3"/>
      <c r="B40" s="3" t="n">
        <v>39</v>
      </c>
      <c r="C40" s="4" t="s">
        <v>62</v>
      </c>
      <c r="D40" s="5" t="n">
        <v>100.9</v>
      </c>
      <c r="E40" s="8" t="s">
        <v>19</v>
      </c>
      <c r="F40" s="7" t="n">
        <v>0.5</v>
      </c>
      <c r="G40" s="7" t="n">
        <v>0.5</v>
      </c>
      <c r="H40" s="7" t="n">
        <v>0</v>
      </c>
      <c r="I40" s="5" t="n">
        <f aca="false">D40*F40</f>
        <v>50.45</v>
      </c>
      <c r="J40" s="5" t="n">
        <f aca="false">D40*G40</f>
        <v>50.45</v>
      </c>
      <c r="K40" s="5" t="n">
        <f aca="false">D40*H40</f>
        <v>0</v>
      </c>
      <c r="L40" s="4" t="s">
        <v>58</v>
      </c>
      <c r="M40" s="3" t="s">
        <v>21</v>
      </c>
    </row>
    <row r="41" customFormat="false" ht="21.75" hidden="false" customHeight="true" outlineLevel="0" collapsed="false">
      <c r="A41" s="3"/>
      <c r="B41" s="3" t="n">
        <v>40</v>
      </c>
      <c r="C41" s="4" t="s">
        <v>63</v>
      </c>
      <c r="D41" s="5" t="n">
        <v>32.3</v>
      </c>
      <c r="E41" s="8" t="s">
        <v>19</v>
      </c>
      <c r="F41" s="7" t="n">
        <v>0.5</v>
      </c>
      <c r="G41" s="7" t="n">
        <v>0.5</v>
      </c>
      <c r="H41" s="7" t="n">
        <v>0</v>
      </c>
      <c r="I41" s="5" t="n">
        <f aca="false">D41*F41</f>
        <v>16.15</v>
      </c>
      <c r="J41" s="5" t="n">
        <f aca="false">D41*G41</f>
        <v>16.15</v>
      </c>
      <c r="K41" s="5" t="n">
        <f aca="false">D41*H41</f>
        <v>0</v>
      </c>
      <c r="L41" s="4" t="s">
        <v>58</v>
      </c>
      <c r="M41" s="3" t="s">
        <v>21</v>
      </c>
    </row>
    <row r="42" customFormat="false" ht="21.75" hidden="false" customHeight="true" outlineLevel="0" collapsed="false">
      <c r="A42" s="3"/>
      <c r="B42" s="3" t="n">
        <v>41</v>
      </c>
      <c r="C42" s="4" t="s">
        <v>64</v>
      </c>
      <c r="D42" s="5" t="n">
        <v>10.72</v>
      </c>
      <c r="E42" s="6" t="s">
        <v>15</v>
      </c>
      <c r="F42" s="7" t="n">
        <v>0</v>
      </c>
      <c r="G42" s="7" t="n">
        <v>1</v>
      </c>
      <c r="H42" s="7" t="n">
        <v>0</v>
      </c>
      <c r="I42" s="5" t="n">
        <f aca="false">D42*F42</f>
        <v>0</v>
      </c>
      <c r="J42" s="5" t="n">
        <f aca="false">D42*G42</f>
        <v>10.72</v>
      </c>
      <c r="K42" s="5" t="n">
        <f aca="false">D42*H42</f>
        <v>0</v>
      </c>
      <c r="L42" s="4" t="s">
        <v>16</v>
      </c>
      <c r="M42" s="3" t="s">
        <v>17</v>
      </c>
    </row>
    <row r="43" customFormat="false" ht="21.75" hidden="false" customHeight="true" outlineLevel="0" collapsed="false">
      <c r="A43" s="3"/>
      <c r="B43" s="3" t="n">
        <v>42</v>
      </c>
      <c r="C43" s="4" t="s">
        <v>65</v>
      </c>
      <c r="D43" s="5" t="n">
        <v>13.39</v>
      </c>
      <c r="E43" s="8" t="s">
        <v>19</v>
      </c>
      <c r="F43" s="7" t="n">
        <v>0.5</v>
      </c>
      <c r="G43" s="7" t="n">
        <v>0.5</v>
      </c>
      <c r="H43" s="7" t="n">
        <v>0</v>
      </c>
      <c r="I43" s="5" t="n">
        <f aca="false">D43*F43</f>
        <v>6.695</v>
      </c>
      <c r="J43" s="5" t="n">
        <f aca="false">D43*G43</f>
        <v>6.695</v>
      </c>
      <c r="K43" s="5" t="n">
        <f aca="false">D43*H43</f>
        <v>0</v>
      </c>
      <c r="L43" s="4" t="s">
        <v>58</v>
      </c>
      <c r="M43" s="3" t="s">
        <v>21</v>
      </c>
    </row>
    <row r="44" customFormat="false" ht="15" hidden="false" customHeight="true" outlineLevel="0" collapsed="false">
      <c r="A44" s="3"/>
      <c r="B44" s="3" t="n">
        <v>43</v>
      </c>
      <c r="C44" s="4" t="s">
        <v>66</v>
      </c>
      <c r="D44" s="5" t="n">
        <v>155.56</v>
      </c>
      <c r="E44" s="6" t="s">
        <v>15</v>
      </c>
      <c r="F44" s="7" t="n">
        <v>0</v>
      </c>
      <c r="G44" s="7" t="n">
        <v>1</v>
      </c>
      <c r="H44" s="7" t="n">
        <v>0</v>
      </c>
      <c r="I44" s="5" t="n">
        <f aca="false">D44*F44</f>
        <v>0</v>
      </c>
      <c r="J44" s="5" t="n">
        <f aca="false">D44*G44</f>
        <v>155.56</v>
      </c>
      <c r="K44" s="5" t="n">
        <f aca="false">D44*H44</f>
        <v>0</v>
      </c>
      <c r="L44" s="4" t="s">
        <v>32</v>
      </c>
      <c r="M44" s="3" t="s">
        <v>17</v>
      </c>
    </row>
    <row r="45" customFormat="false" ht="21.75" hidden="false" customHeight="true" outlineLevel="0" collapsed="false">
      <c r="A45" s="3"/>
      <c r="B45" s="3" t="n">
        <v>44</v>
      </c>
      <c r="C45" s="4" t="s">
        <v>67</v>
      </c>
      <c r="D45" s="5" t="n">
        <v>36.08</v>
      </c>
      <c r="E45" s="8" t="s">
        <v>19</v>
      </c>
      <c r="F45" s="7" t="n">
        <v>0.5</v>
      </c>
      <c r="G45" s="7" t="n">
        <v>0.5</v>
      </c>
      <c r="H45" s="7" t="n">
        <v>0</v>
      </c>
      <c r="I45" s="5" t="n">
        <f aca="false">D45*F45</f>
        <v>18.04</v>
      </c>
      <c r="J45" s="5" t="n">
        <f aca="false">D45*G45</f>
        <v>18.04</v>
      </c>
      <c r="K45" s="5" t="n">
        <f aca="false">D45*H45</f>
        <v>0</v>
      </c>
      <c r="L45" s="4" t="s">
        <v>68</v>
      </c>
      <c r="M45" s="3" t="s">
        <v>21</v>
      </c>
    </row>
    <row r="46" customFormat="false" ht="21.75" hidden="false" customHeight="true" outlineLevel="0" collapsed="false">
      <c r="A46" s="3"/>
      <c r="B46" s="3" t="n">
        <v>45</v>
      </c>
      <c r="C46" s="4" t="s">
        <v>69</v>
      </c>
      <c r="D46" s="5" t="n">
        <v>3.95</v>
      </c>
      <c r="E46" s="8" t="s">
        <v>19</v>
      </c>
      <c r="F46" s="7" t="n">
        <v>0.5</v>
      </c>
      <c r="G46" s="7" t="n">
        <v>0.5</v>
      </c>
      <c r="H46" s="7" t="n">
        <v>0</v>
      </c>
      <c r="I46" s="5" t="n">
        <f aca="false">D46*F46</f>
        <v>1.975</v>
      </c>
      <c r="J46" s="5" t="n">
        <f aca="false">D46*G46</f>
        <v>1.975</v>
      </c>
      <c r="K46" s="5" t="n">
        <f aca="false">D46*H46</f>
        <v>0</v>
      </c>
      <c r="L46" s="4" t="s">
        <v>68</v>
      </c>
      <c r="M46" s="3" t="s">
        <v>21</v>
      </c>
    </row>
    <row r="47" customFormat="false" ht="21.75" hidden="false" customHeight="true" outlineLevel="0" collapsed="false">
      <c r="A47" s="3"/>
      <c r="B47" s="3" t="n">
        <v>46</v>
      </c>
      <c r="C47" s="4" t="s">
        <v>70</v>
      </c>
      <c r="D47" s="5" t="n">
        <v>39.74</v>
      </c>
      <c r="E47" s="8" t="s">
        <v>19</v>
      </c>
      <c r="F47" s="7" t="n">
        <v>0.5</v>
      </c>
      <c r="G47" s="7" t="n">
        <v>0.5</v>
      </c>
      <c r="H47" s="7" t="n">
        <v>0</v>
      </c>
      <c r="I47" s="5" t="n">
        <f aca="false">D47*F47</f>
        <v>19.87</v>
      </c>
      <c r="J47" s="5" t="n">
        <f aca="false">D47*G47</f>
        <v>19.87</v>
      </c>
      <c r="K47" s="5" t="n">
        <f aca="false">D47*H47</f>
        <v>0</v>
      </c>
      <c r="L47" s="4" t="s">
        <v>20</v>
      </c>
      <c r="M47" s="3" t="s">
        <v>21</v>
      </c>
    </row>
    <row r="48" customFormat="false" ht="21.75" hidden="false" customHeight="true" outlineLevel="0" collapsed="false">
      <c r="A48" s="3"/>
      <c r="B48" s="3" t="n">
        <v>47</v>
      </c>
      <c r="C48" s="4" t="s">
        <v>71</v>
      </c>
      <c r="D48" s="5" t="n">
        <v>13.53</v>
      </c>
      <c r="E48" s="8" t="s">
        <v>19</v>
      </c>
      <c r="F48" s="7" t="n">
        <v>0.5</v>
      </c>
      <c r="G48" s="7" t="n">
        <v>0.5</v>
      </c>
      <c r="H48" s="7" t="n">
        <v>0</v>
      </c>
      <c r="I48" s="5" t="n">
        <f aca="false">D48*F48</f>
        <v>6.765</v>
      </c>
      <c r="J48" s="5" t="n">
        <f aca="false">D48*G48</f>
        <v>6.765</v>
      </c>
      <c r="K48" s="5" t="n">
        <f aca="false">D48*H48</f>
        <v>0</v>
      </c>
      <c r="L48" s="4" t="s">
        <v>68</v>
      </c>
      <c r="M48" s="3" t="s">
        <v>21</v>
      </c>
    </row>
    <row r="49" customFormat="false" ht="21.75" hidden="false" customHeight="true" outlineLevel="0" collapsed="false">
      <c r="A49" s="3"/>
      <c r="B49" s="3" t="n">
        <v>48</v>
      </c>
      <c r="C49" s="4" t="s">
        <v>72</v>
      </c>
      <c r="D49" s="5" t="n">
        <v>89.06</v>
      </c>
      <c r="E49" s="8" t="s">
        <v>19</v>
      </c>
      <c r="F49" s="7" t="n">
        <v>0.5</v>
      </c>
      <c r="G49" s="7" t="n">
        <v>0.5</v>
      </c>
      <c r="H49" s="7" t="n">
        <v>0</v>
      </c>
      <c r="I49" s="5" t="n">
        <f aca="false">D49*F49</f>
        <v>44.53</v>
      </c>
      <c r="J49" s="5" t="n">
        <f aca="false">D49*G49</f>
        <v>44.53</v>
      </c>
      <c r="K49" s="5" t="n">
        <f aca="false">D49*H49</f>
        <v>0</v>
      </c>
      <c r="L49" s="4" t="s">
        <v>68</v>
      </c>
      <c r="M49" s="3" t="s">
        <v>21</v>
      </c>
    </row>
    <row r="50" customFormat="false" ht="21.75" hidden="false" customHeight="true" outlineLevel="0" collapsed="false">
      <c r="A50" s="3"/>
      <c r="B50" s="3" t="n">
        <v>49</v>
      </c>
      <c r="C50" s="4" t="s">
        <v>73</v>
      </c>
      <c r="D50" s="5" t="n">
        <v>125.13</v>
      </c>
      <c r="E50" s="8" t="s">
        <v>19</v>
      </c>
      <c r="F50" s="7" t="n">
        <v>0.5</v>
      </c>
      <c r="G50" s="7" t="n">
        <v>0.5</v>
      </c>
      <c r="H50" s="7" t="n">
        <v>0</v>
      </c>
      <c r="I50" s="5" t="n">
        <f aca="false">D50*F50</f>
        <v>62.565</v>
      </c>
      <c r="J50" s="5" t="n">
        <f aca="false">D50*G50</f>
        <v>62.565</v>
      </c>
      <c r="K50" s="5" t="n">
        <f aca="false">D50*H50</f>
        <v>0</v>
      </c>
      <c r="L50" s="4" t="s">
        <v>74</v>
      </c>
      <c r="M50" s="3" t="s">
        <v>21</v>
      </c>
    </row>
    <row r="51" customFormat="false" ht="21.75" hidden="false" customHeight="true" outlineLevel="0" collapsed="false">
      <c r="A51" s="3"/>
      <c r="B51" s="3" t="n">
        <v>50</v>
      </c>
      <c r="C51" s="4" t="s">
        <v>75</v>
      </c>
      <c r="D51" s="5" t="n">
        <v>150.35</v>
      </c>
      <c r="E51" s="8" t="s">
        <v>19</v>
      </c>
      <c r="F51" s="7" t="n">
        <v>0.5</v>
      </c>
      <c r="G51" s="7" t="n">
        <v>0.5</v>
      </c>
      <c r="H51" s="7" t="n">
        <v>0</v>
      </c>
      <c r="I51" s="5" t="n">
        <f aca="false">D51*F51</f>
        <v>75.175</v>
      </c>
      <c r="J51" s="5" t="n">
        <f aca="false">D51*G51</f>
        <v>75.175</v>
      </c>
      <c r="K51" s="5" t="n">
        <f aca="false">D51*H51</f>
        <v>0</v>
      </c>
      <c r="L51" s="4" t="s">
        <v>74</v>
      </c>
      <c r="M51" s="3" t="s">
        <v>21</v>
      </c>
    </row>
    <row r="52" customFormat="false" ht="21.75" hidden="false" customHeight="true" outlineLevel="0" collapsed="false">
      <c r="A52" s="3"/>
      <c r="B52" s="3" t="n">
        <v>51</v>
      </c>
      <c r="C52" s="4" t="s">
        <v>76</v>
      </c>
      <c r="D52" s="5" t="n">
        <v>96.03</v>
      </c>
      <c r="E52" s="8" t="s">
        <v>19</v>
      </c>
      <c r="F52" s="7" t="n">
        <v>0.5</v>
      </c>
      <c r="G52" s="7" t="n">
        <v>0.5</v>
      </c>
      <c r="H52" s="7" t="n">
        <v>0</v>
      </c>
      <c r="I52" s="5" t="n">
        <f aca="false">D52*F52</f>
        <v>48.015</v>
      </c>
      <c r="J52" s="5" t="n">
        <f aca="false">D52*G52</f>
        <v>48.015</v>
      </c>
      <c r="K52" s="5" t="n">
        <f aca="false">D52*H52</f>
        <v>0</v>
      </c>
      <c r="L52" s="4" t="s">
        <v>74</v>
      </c>
      <c r="M52" s="3" t="s">
        <v>21</v>
      </c>
    </row>
    <row r="53" customFormat="false" ht="21.75" hidden="false" customHeight="true" outlineLevel="0" collapsed="false">
      <c r="A53" s="3"/>
      <c r="B53" s="3" t="n">
        <v>52</v>
      </c>
      <c r="C53" s="4" t="s">
        <v>77</v>
      </c>
      <c r="D53" s="5" t="n">
        <v>24.09</v>
      </c>
      <c r="E53" s="8" t="s">
        <v>19</v>
      </c>
      <c r="F53" s="7" t="n">
        <v>0.5</v>
      </c>
      <c r="G53" s="7" t="n">
        <v>0.5</v>
      </c>
      <c r="H53" s="7" t="n">
        <v>0</v>
      </c>
      <c r="I53" s="5" t="n">
        <f aca="false">D53*F53</f>
        <v>12.045</v>
      </c>
      <c r="J53" s="5" t="n">
        <f aca="false">D53*G53</f>
        <v>12.045</v>
      </c>
      <c r="K53" s="5" t="n">
        <f aca="false">D53*H53</f>
        <v>0</v>
      </c>
      <c r="L53" s="4" t="s">
        <v>74</v>
      </c>
      <c r="M53" s="3" t="s">
        <v>21</v>
      </c>
    </row>
    <row r="54" customFormat="false" ht="21.75" hidden="false" customHeight="true" outlineLevel="0" collapsed="false">
      <c r="A54" s="3"/>
      <c r="B54" s="3" t="n">
        <v>53</v>
      </c>
      <c r="C54" s="4" t="s">
        <v>78</v>
      </c>
      <c r="D54" s="5" t="n">
        <v>56</v>
      </c>
      <c r="E54" s="8" t="s">
        <v>19</v>
      </c>
      <c r="F54" s="7" t="n">
        <v>0.5</v>
      </c>
      <c r="G54" s="7" t="n">
        <v>0.5</v>
      </c>
      <c r="H54" s="7" t="n">
        <v>0</v>
      </c>
      <c r="I54" s="5" t="n">
        <f aca="false">D54*F54</f>
        <v>28</v>
      </c>
      <c r="J54" s="5" t="n">
        <f aca="false">D54*G54</f>
        <v>28</v>
      </c>
      <c r="K54" s="5" t="n">
        <f aca="false">D54*H54</f>
        <v>0</v>
      </c>
      <c r="L54" s="4" t="s">
        <v>74</v>
      </c>
      <c r="M54" s="3" t="s">
        <v>21</v>
      </c>
    </row>
    <row r="55" customFormat="false" ht="21.75" hidden="false" customHeight="true" outlineLevel="0" collapsed="false">
      <c r="A55" s="3"/>
      <c r="B55" s="3" t="n">
        <v>54</v>
      </c>
      <c r="C55" s="4" t="s">
        <v>79</v>
      </c>
      <c r="D55" s="5" t="n">
        <v>192.06</v>
      </c>
      <c r="E55" s="8" t="s">
        <v>19</v>
      </c>
      <c r="F55" s="7" t="n">
        <v>0.5</v>
      </c>
      <c r="G55" s="7" t="n">
        <v>0.5</v>
      </c>
      <c r="H55" s="7" t="n">
        <v>0</v>
      </c>
      <c r="I55" s="5" t="n">
        <f aca="false">D55*F55</f>
        <v>96.03</v>
      </c>
      <c r="J55" s="5" t="n">
        <f aca="false">D55*G55</f>
        <v>96.03</v>
      </c>
      <c r="K55" s="5" t="n">
        <f aca="false">D55*H55</f>
        <v>0</v>
      </c>
      <c r="L55" s="4" t="s">
        <v>74</v>
      </c>
      <c r="M55" s="3" t="s">
        <v>21</v>
      </c>
    </row>
    <row r="56" customFormat="false" ht="21.75" hidden="false" customHeight="true" outlineLevel="0" collapsed="false">
      <c r="A56" s="3"/>
      <c r="B56" s="3" t="n">
        <v>55</v>
      </c>
      <c r="C56" s="4" t="s">
        <v>80</v>
      </c>
      <c r="D56" s="5" t="n">
        <v>33.37</v>
      </c>
      <c r="E56" s="8" t="s">
        <v>19</v>
      </c>
      <c r="F56" s="7" t="n">
        <v>0.5</v>
      </c>
      <c r="G56" s="7" t="n">
        <v>0.5</v>
      </c>
      <c r="H56" s="7" t="n">
        <v>0</v>
      </c>
      <c r="I56" s="5" t="n">
        <f aca="false">D56*F56</f>
        <v>16.685</v>
      </c>
      <c r="J56" s="5" t="n">
        <f aca="false">D56*G56</f>
        <v>16.685</v>
      </c>
      <c r="K56" s="5" t="n">
        <f aca="false">D56*H56</f>
        <v>0</v>
      </c>
      <c r="L56" s="4" t="s">
        <v>74</v>
      </c>
      <c r="M56" s="3" t="s">
        <v>21</v>
      </c>
    </row>
    <row r="57" customFormat="false" ht="21.75" hidden="false" customHeight="true" outlineLevel="0" collapsed="false">
      <c r="A57" s="3"/>
      <c r="B57" s="3" t="n">
        <v>56</v>
      </c>
      <c r="C57" s="4" t="s">
        <v>81</v>
      </c>
      <c r="D57" s="5" t="n">
        <v>230.86</v>
      </c>
      <c r="E57" s="8" t="s">
        <v>19</v>
      </c>
      <c r="F57" s="7" t="n">
        <v>0.5</v>
      </c>
      <c r="G57" s="7" t="n">
        <v>0.5</v>
      </c>
      <c r="H57" s="7" t="n">
        <v>0</v>
      </c>
      <c r="I57" s="5" t="n">
        <f aca="false">D57*F57</f>
        <v>115.43</v>
      </c>
      <c r="J57" s="5" t="n">
        <f aca="false">D57*G57</f>
        <v>115.43</v>
      </c>
      <c r="K57" s="5" t="n">
        <f aca="false">D57*H57</f>
        <v>0</v>
      </c>
      <c r="L57" s="4" t="s">
        <v>74</v>
      </c>
      <c r="M57" s="3" t="s">
        <v>21</v>
      </c>
    </row>
    <row r="58" customFormat="false" ht="21.75" hidden="false" customHeight="true" outlineLevel="0" collapsed="false">
      <c r="A58" s="3"/>
      <c r="B58" s="3" t="n">
        <v>57</v>
      </c>
      <c r="C58" s="4" t="s">
        <v>82</v>
      </c>
      <c r="D58" s="5" t="n">
        <v>3</v>
      </c>
      <c r="E58" s="8" t="s">
        <v>19</v>
      </c>
      <c r="F58" s="7" t="n">
        <v>0.5</v>
      </c>
      <c r="G58" s="7" t="n">
        <v>0.5</v>
      </c>
      <c r="H58" s="7" t="n">
        <v>0</v>
      </c>
      <c r="I58" s="5" t="n">
        <f aca="false">D58*F58</f>
        <v>1.5</v>
      </c>
      <c r="J58" s="5" t="n">
        <f aca="false">D58*G58</f>
        <v>1.5</v>
      </c>
      <c r="K58" s="5" t="n">
        <f aca="false">D58*H58</f>
        <v>0</v>
      </c>
      <c r="L58" s="4" t="s">
        <v>83</v>
      </c>
      <c r="M58" s="3" t="s">
        <v>21</v>
      </c>
    </row>
    <row r="59" customFormat="false" ht="21.75" hidden="false" customHeight="true" outlineLevel="0" collapsed="false">
      <c r="A59" s="3"/>
      <c r="B59" s="3" t="n">
        <v>58</v>
      </c>
      <c r="C59" s="4" t="s">
        <v>84</v>
      </c>
      <c r="D59" s="5" t="n">
        <v>6.45</v>
      </c>
      <c r="E59" s="8" t="s">
        <v>19</v>
      </c>
      <c r="F59" s="7" t="n">
        <v>0.5</v>
      </c>
      <c r="G59" s="7" t="n">
        <v>0.5</v>
      </c>
      <c r="H59" s="7" t="n">
        <v>0</v>
      </c>
      <c r="I59" s="5" t="n">
        <f aca="false">D59*F59</f>
        <v>3.225</v>
      </c>
      <c r="J59" s="5" t="n">
        <f aca="false">D59*G59</f>
        <v>3.225</v>
      </c>
      <c r="K59" s="5" t="n">
        <f aca="false">D59*H59</f>
        <v>0</v>
      </c>
      <c r="L59" s="4" t="s">
        <v>83</v>
      </c>
      <c r="M59" s="3" t="s">
        <v>21</v>
      </c>
    </row>
    <row r="60" customFormat="false" ht="21.75" hidden="false" customHeight="true" outlineLevel="0" collapsed="false">
      <c r="A60" s="3"/>
      <c r="B60" s="3" t="n">
        <v>59</v>
      </c>
      <c r="C60" s="4" t="s">
        <v>85</v>
      </c>
      <c r="D60" s="5" t="n">
        <v>0.5</v>
      </c>
      <c r="E60" s="8" t="s">
        <v>19</v>
      </c>
      <c r="F60" s="7" t="n">
        <v>0.5</v>
      </c>
      <c r="G60" s="7" t="n">
        <v>0.5</v>
      </c>
      <c r="H60" s="7" t="n">
        <v>0</v>
      </c>
      <c r="I60" s="5" t="n">
        <f aca="false">D60*F60</f>
        <v>0.25</v>
      </c>
      <c r="J60" s="5" t="n">
        <f aca="false">D60*G60</f>
        <v>0.25</v>
      </c>
      <c r="K60" s="5" t="n">
        <f aca="false">D60*H60</f>
        <v>0</v>
      </c>
      <c r="L60" s="4" t="s">
        <v>83</v>
      </c>
      <c r="M60" s="3" t="s">
        <v>21</v>
      </c>
    </row>
    <row r="61" customFormat="false" ht="21.75" hidden="false" customHeight="true" outlineLevel="0" collapsed="false">
      <c r="A61" s="3"/>
      <c r="B61" s="3" t="n">
        <v>60</v>
      </c>
      <c r="C61" s="4" t="s">
        <v>86</v>
      </c>
      <c r="D61" s="5" t="n">
        <v>0.2</v>
      </c>
      <c r="E61" s="8" t="s">
        <v>19</v>
      </c>
      <c r="F61" s="7" t="n">
        <v>0.5</v>
      </c>
      <c r="G61" s="7" t="n">
        <v>0.5</v>
      </c>
      <c r="H61" s="7" t="n">
        <v>0</v>
      </c>
      <c r="I61" s="5" t="n">
        <f aca="false">D61*F61</f>
        <v>0.1</v>
      </c>
      <c r="J61" s="5" t="n">
        <f aca="false">D61*G61</f>
        <v>0.1</v>
      </c>
      <c r="K61" s="5" t="n">
        <f aca="false">D61*H61</f>
        <v>0</v>
      </c>
      <c r="L61" s="4" t="s">
        <v>83</v>
      </c>
      <c r="M61" s="3" t="s">
        <v>21</v>
      </c>
    </row>
    <row r="62" customFormat="false" ht="21.75" hidden="false" customHeight="true" outlineLevel="0" collapsed="false">
      <c r="A62" s="3"/>
      <c r="B62" s="3" t="n">
        <v>61</v>
      </c>
      <c r="C62" s="4" t="s">
        <v>87</v>
      </c>
      <c r="D62" s="5" t="n">
        <v>9.45</v>
      </c>
      <c r="E62" s="8" t="s">
        <v>19</v>
      </c>
      <c r="F62" s="7" t="n">
        <v>0.5</v>
      </c>
      <c r="G62" s="7" t="n">
        <v>0.5</v>
      </c>
      <c r="H62" s="7" t="n">
        <v>0</v>
      </c>
      <c r="I62" s="5" t="n">
        <f aca="false">D62*F62</f>
        <v>4.725</v>
      </c>
      <c r="J62" s="5" t="n">
        <f aca="false">D62*G62</f>
        <v>4.725</v>
      </c>
      <c r="K62" s="5" t="n">
        <f aca="false">D62*H62</f>
        <v>0</v>
      </c>
      <c r="L62" s="4" t="s">
        <v>83</v>
      </c>
      <c r="M62" s="3" t="s">
        <v>21</v>
      </c>
    </row>
    <row r="63" customFormat="false" ht="21.75" hidden="false" customHeight="true" outlineLevel="0" collapsed="false">
      <c r="A63" s="3"/>
      <c r="B63" s="3" t="n">
        <v>62</v>
      </c>
      <c r="C63" s="4" t="s">
        <v>88</v>
      </c>
      <c r="D63" s="5" t="n">
        <v>1.2</v>
      </c>
      <c r="E63" s="8" t="s">
        <v>19</v>
      </c>
      <c r="F63" s="7" t="n">
        <v>0.5</v>
      </c>
      <c r="G63" s="7" t="n">
        <v>0.5</v>
      </c>
      <c r="H63" s="7" t="n">
        <v>0</v>
      </c>
      <c r="I63" s="5" t="n">
        <f aca="false">D63*F63</f>
        <v>0.6</v>
      </c>
      <c r="J63" s="5" t="n">
        <f aca="false">D63*G63</f>
        <v>0.6</v>
      </c>
      <c r="K63" s="5" t="n">
        <f aca="false">D63*H63</f>
        <v>0</v>
      </c>
      <c r="L63" s="4" t="s">
        <v>83</v>
      </c>
      <c r="M63" s="3" t="s">
        <v>21</v>
      </c>
    </row>
    <row r="64" customFormat="false" ht="21.75" hidden="false" customHeight="true" outlineLevel="0" collapsed="false">
      <c r="A64" s="3"/>
      <c r="B64" s="3" t="n">
        <v>63</v>
      </c>
      <c r="C64" s="4" t="s">
        <v>89</v>
      </c>
      <c r="D64" s="5" t="n">
        <v>8.08</v>
      </c>
      <c r="E64" s="8" t="s">
        <v>19</v>
      </c>
      <c r="F64" s="7" t="n">
        <v>0.5</v>
      </c>
      <c r="G64" s="7" t="n">
        <v>0.5</v>
      </c>
      <c r="H64" s="7" t="n">
        <v>0</v>
      </c>
      <c r="I64" s="5" t="n">
        <f aca="false">D64*F64</f>
        <v>4.04</v>
      </c>
      <c r="J64" s="5" t="n">
        <f aca="false">D64*G64</f>
        <v>4.04</v>
      </c>
      <c r="K64" s="5" t="n">
        <f aca="false">D64*H64</f>
        <v>0</v>
      </c>
      <c r="L64" s="4" t="s">
        <v>83</v>
      </c>
      <c r="M64" s="3" t="s">
        <v>21</v>
      </c>
    </row>
    <row r="65" customFormat="false" ht="21.75" hidden="false" customHeight="true" outlineLevel="0" collapsed="false">
      <c r="A65" s="3"/>
      <c r="B65" s="3" t="n">
        <v>64</v>
      </c>
      <c r="C65" s="4" t="s">
        <v>90</v>
      </c>
      <c r="D65" s="5" t="n">
        <v>22.6</v>
      </c>
      <c r="E65" s="8" t="s">
        <v>19</v>
      </c>
      <c r="F65" s="7" t="n">
        <v>0.5</v>
      </c>
      <c r="G65" s="7" t="n">
        <v>0.5</v>
      </c>
      <c r="H65" s="7" t="n">
        <v>0</v>
      </c>
      <c r="I65" s="5" t="n">
        <f aca="false">D65*F65</f>
        <v>11.3</v>
      </c>
      <c r="J65" s="5" t="n">
        <f aca="false">D65*G65</f>
        <v>11.3</v>
      </c>
      <c r="K65" s="5" t="n">
        <f aca="false">D65*H65</f>
        <v>0</v>
      </c>
      <c r="L65" s="4" t="s">
        <v>83</v>
      </c>
      <c r="M65" s="3" t="s">
        <v>21</v>
      </c>
    </row>
    <row r="66" customFormat="false" ht="21.75" hidden="false" customHeight="true" outlineLevel="0" collapsed="false">
      <c r="A66" s="3"/>
      <c r="B66" s="3" t="n">
        <v>65</v>
      </c>
      <c r="C66" s="4" t="s">
        <v>91</v>
      </c>
      <c r="D66" s="5" t="n">
        <v>1.9</v>
      </c>
      <c r="E66" s="8" t="s">
        <v>19</v>
      </c>
      <c r="F66" s="7" t="n">
        <v>0.5</v>
      </c>
      <c r="G66" s="7" t="n">
        <v>0.5</v>
      </c>
      <c r="H66" s="7" t="n">
        <v>0</v>
      </c>
      <c r="I66" s="5" t="n">
        <f aca="false">D66*F66</f>
        <v>0.95</v>
      </c>
      <c r="J66" s="5" t="n">
        <f aca="false">D66*G66</f>
        <v>0.95</v>
      </c>
      <c r="K66" s="5" t="n">
        <f aca="false">D66*H66</f>
        <v>0</v>
      </c>
      <c r="L66" s="4" t="s">
        <v>83</v>
      </c>
      <c r="M66" s="3" t="s">
        <v>21</v>
      </c>
    </row>
    <row r="67" customFormat="false" ht="21.75" hidden="false" customHeight="true" outlineLevel="0" collapsed="false">
      <c r="A67" s="3"/>
      <c r="B67" s="3" t="n">
        <v>66</v>
      </c>
      <c r="C67" s="4" t="s">
        <v>92</v>
      </c>
      <c r="D67" s="5" t="n">
        <v>6</v>
      </c>
      <c r="E67" s="8" t="s">
        <v>19</v>
      </c>
      <c r="F67" s="7" t="n">
        <v>0.5</v>
      </c>
      <c r="G67" s="7" t="n">
        <v>0.5</v>
      </c>
      <c r="H67" s="7" t="n">
        <v>0</v>
      </c>
      <c r="I67" s="5" t="n">
        <f aca="false">D67*F67</f>
        <v>3</v>
      </c>
      <c r="J67" s="5" t="n">
        <f aca="false">D67*G67</f>
        <v>3</v>
      </c>
      <c r="K67" s="5" t="n">
        <f aca="false">D67*H67</f>
        <v>0</v>
      </c>
      <c r="L67" s="4" t="s">
        <v>83</v>
      </c>
      <c r="M67" s="3" t="s">
        <v>21</v>
      </c>
    </row>
    <row r="68" customFormat="false" ht="21.75" hidden="false" customHeight="true" outlineLevel="0" collapsed="false">
      <c r="A68" s="3"/>
      <c r="B68" s="3" t="n">
        <v>67</v>
      </c>
      <c r="C68" s="4" t="s">
        <v>93</v>
      </c>
      <c r="D68" s="5" t="n">
        <v>0.65</v>
      </c>
      <c r="E68" s="8" t="s">
        <v>19</v>
      </c>
      <c r="F68" s="7" t="n">
        <v>0.5</v>
      </c>
      <c r="G68" s="7" t="n">
        <v>0.5</v>
      </c>
      <c r="H68" s="7" t="n">
        <v>0</v>
      </c>
      <c r="I68" s="5" t="n">
        <f aca="false">D68*F68</f>
        <v>0.325</v>
      </c>
      <c r="J68" s="5" t="n">
        <f aca="false">D68*G68</f>
        <v>0.325</v>
      </c>
      <c r="K68" s="5" t="n">
        <f aca="false">D68*H68</f>
        <v>0</v>
      </c>
      <c r="L68" s="4" t="s">
        <v>83</v>
      </c>
      <c r="M68" s="3" t="s">
        <v>21</v>
      </c>
    </row>
    <row r="69" customFormat="false" ht="21.75" hidden="false" customHeight="true" outlineLevel="0" collapsed="false">
      <c r="A69" s="3"/>
      <c r="B69" s="3" t="n">
        <v>68</v>
      </c>
      <c r="C69" s="4" t="s">
        <v>94</v>
      </c>
      <c r="D69" s="5" t="n">
        <v>28.3</v>
      </c>
      <c r="E69" s="8" t="s">
        <v>19</v>
      </c>
      <c r="F69" s="7" t="n">
        <v>0.5</v>
      </c>
      <c r="G69" s="7" t="n">
        <v>0.5</v>
      </c>
      <c r="H69" s="7" t="n">
        <v>0</v>
      </c>
      <c r="I69" s="5" t="n">
        <f aca="false">D69*F69</f>
        <v>14.15</v>
      </c>
      <c r="J69" s="5" t="n">
        <f aca="false">D69*G69</f>
        <v>14.15</v>
      </c>
      <c r="K69" s="5" t="n">
        <f aca="false">D69*H69</f>
        <v>0</v>
      </c>
      <c r="L69" s="4" t="s">
        <v>83</v>
      </c>
      <c r="M69" s="3" t="s">
        <v>21</v>
      </c>
    </row>
    <row r="70" customFormat="false" ht="21.75" hidden="false" customHeight="true" outlineLevel="0" collapsed="false">
      <c r="A70" s="3"/>
      <c r="B70" s="3" t="n">
        <v>69</v>
      </c>
      <c r="C70" s="4" t="s">
        <v>95</v>
      </c>
      <c r="D70" s="5" t="n">
        <v>2.7</v>
      </c>
      <c r="E70" s="8" t="s">
        <v>19</v>
      </c>
      <c r="F70" s="7" t="n">
        <v>0.5</v>
      </c>
      <c r="G70" s="7" t="n">
        <v>0.5</v>
      </c>
      <c r="H70" s="7" t="n">
        <v>0</v>
      </c>
      <c r="I70" s="5" t="n">
        <f aca="false">D70*F70</f>
        <v>1.35</v>
      </c>
      <c r="J70" s="5" t="n">
        <f aca="false">D70*G70</f>
        <v>1.35</v>
      </c>
      <c r="K70" s="5" t="n">
        <f aca="false">D70*H70</f>
        <v>0</v>
      </c>
      <c r="L70" s="4" t="s">
        <v>83</v>
      </c>
      <c r="M70" s="3" t="s">
        <v>21</v>
      </c>
    </row>
    <row r="71" customFormat="false" ht="21.75" hidden="false" customHeight="true" outlineLevel="0" collapsed="false">
      <c r="A71" s="3"/>
      <c r="B71" s="3" t="n">
        <v>70</v>
      </c>
      <c r="C71" s="4" t="s">
        <v>96</v>
      </c>
      <c r="D71" s="5" t="n">
        <v>7</v>
      </c>
      <c r="E71" s="8" t="s">
        <v>19</v>
      </c>
      <c r="F71" s="7" t="n">
        <v>0.5</v>
      </c>
      <c r="G71" s="7" t="n">
        <v>0.5</v>
      </c>
      <c r="H71" s="7" t="n">
        <v>0</v>
      </c>
      <c r="I71" s="5" t="n">
        <f aca="false">D71*F71</f>
        <v>3.5</v>
      </c>
      <c r="J71" s="5" t="n">
        <f aca="false">D71*G71</f>
        <v>3.5</v>
      </c>
      <c r="K71" s="5" t="n">
        <f aca="false">D71*H71</f>
        <v>0</v>
      </c>
      <c r="L71" s="4" t="s">
        <v>83</v>
      </c>
      <c r="M71" s="3" t="s">
        <v>21</v>
      </c>
    </row>
    <row r="72" customFormat="false" ht="21.75" hidden="false" customHeight="true" outlineLevel="0" collapsed="false">
      <c r="A72" s="3"/>
      <c r="B72" s="3" t="n">
        <v>71</v>
      </c>
      <c r="C72" s="4" t="s">
        <v>97</v>
      </c>
      <c r="D72" s="5" t="n">
        <v>8.35</v>
      </c>
      <c r="E72" s="8" t="s">
        <v>19</v>
      </c>
      <c r="F72" s="7" t="n">
        <v>0.5</v>
      </c>
      <c r="G72" s="7" t="n">
        <v>0.5</v>
      </c>
      <c r="H72" s="7" t="n">
        <v>0</v>
      </c>
      <c r="I72" s="5" t="n">
        <f aca="false">D72*F72</f>
        <v>4.175</v>
      </c>
      <c r="J72" s="5" t="n">
        <f aca="false">D72*G72</f>
        <v>4.175</v>
      </c>
      <c r="K72" s="5" t="n">
        <f aca="false">D72*H72</f>
        <v>0</v>
      </c>
      <c r="L72" s="4" t="s">
        <v>83</v>
      </c>
      <c r="M72" s="3" t="s">
        <v>21</v>
      </c>
    </row>
    <row r="73" customFormat="false" ht="21.75" hidden="false" customHeight="true" outlineLevel="0" collapsed="false">
      <c r="A73" s="3"/>
      <c r="B73" s="3" t="n">
        <v>72</v>
      </c>
      <c r="C73" s="4" t="s">
        <v>98</v>
      </c>
      <c r="D73" s="5" t="n">
        <v>3.72</v>
      </c>
      <c r="E73" s="8" t="s">
        <v>19</v>
      </c>
      <c r="F73" s="7" t="n">
        <v>0.5</v>
      </c>
      <c r="G73" s="7" t="n">
        <v>0.5</v>
      </c>
      <c r="H73" s="7" t="n">
        <v>0</v>
      </c>
      <c r="I73" s="5" t="n">
        <f aca="false">D73*F73</f>
        <v>1.86</v>
      </c>
      <c r="J73" s="5" t="n">
        <f aca="false">D73*G73</f>
        <v>1.86</v>
      </c>
      <c r="K73" s="5" t="n">
        <f aca="false">D73*H73</f>
        <v>0</v>
      </c>
      <c r="L73" s="4" t="s">
        <v>83</v>
      </c>
      <c r="M73" s="3" t="s">
        <v>21</v>
      </c>
    </row>
    <row r="74" customFormat="false" ht="21.75" hidden="false" customHeight="true" outlineLevel="0" collapsed="false">
      <c r="A74" s="3"/>
      <c r="B74" s="3" t="n">
        <v>73</v>
      </c>
      <c r="C74" s="4" t="s">
        <v>99</v>
      </c>
      <c r="D74" s="5" t="n">
        <v>6.51</v>
      </c>
      <c r="E74" s="8" t="s">
        <v>19</v>
      </c>
      <c r="F74" s="7" t="n">
        <v>0.5</v>
      </c>
      <c r="G74" s="7" t="n">
        <v>0.5</v>
      </c>
      <c r="H74" s="7" t="n">
        <v>0</v>
      </c>
      <c r="I74" s="5" t="n">
        <f aca="false">D74*F74</f>
        <v>3.255</v>
      </c>
      <c r="J74" s="5" t="n">
        <f aca="false">D74*G74</f>
        <v>3.255</v>
      </c>
      <c r="K74" s="5" t="n">
        <f aca="false">D74*H74</f>
        <v>0</v>
      </c>
      <c r="L74" s="4" t="s">
        <v>83</v>
      </c>
      <c r="M74" s="3" t="s">
        <v>21</v>
      </c>
    </row>
    <row r="75" customFormat="false" ht="21.75" hidden="false" customHeight="true" outlineLevel="0" collapsed="false">
      <c r="A75" s="3"/>
      <c r="B75" s="3" t="n">
        <v>74</v>
      </c>
      <c r="C75" s="4" t="s">
        <v>100</v>
      </c>
      <c r="D75" s="5" t="n">
        <v>6.3</v>
      </c>
      <c r="E75" s="8" t="s">
        <v>19</v>
      </c>
      <c r="F75" s="7" t="n">
        <v>0.5</v>
      </c>
      <c r="G75" s="7" t="n">
        <v>0.5</v>
      </c>
      <c r="H75" s="7" t="n">
        <v>0</v>
      </c>
      <c r="I75" s="5" t="n">
        <f aca="false">D75*F75</f>
        <v>3.15</v>
      </c>
      <c r="J75" s="5" t="n">
        <f aca="false">D75*G75</f>
        <v>3.15</v>
      </c>
      <c r="K75" s="5" t="n">
        <f aca="false">D75*H75</f>
        <v>0</v>
      </c>
      <c r="L75" s="4" t="s">
        <v>83</v>
      </c>
      <c r="M75" s="3" t="s">
        <v>21</v>
      </c>
    </row>
    <row r="76" customFormat="false" ht="21.75" hidden="false" customHeight="true" outlineLevel="0" collapsed="false">
      <c r="A76" s="3"/>
      <c r="B76" s="3" t="n">
        <v>75</v>
      </c>
      <c r="C76" s="4" t="s">
        <v>101</v>
      </c>
      <c r="D76" s="5" t="n">
        <v>5.65</v>
      </c>
      <c r="E76" s="8" t="s">
        <v>19</v>
      </c>
      <c r="F76" s="7" t="n">
        <v>0.5</v>
      </c>
      <c r="G76" s="7" t="n">
        <v>0.5</v>
      </c>
      <c r="H76" s="7" t="n">
        <v>0</v>
      </c>
      <c r="I76" s="5" t="n">
        <f aca="false">D76*F76</f>
        <v>2.825</v>
      </c>
      <c r="J76" s="5" t="n">
        <f aca="false">D76*G76</f>
        <v>2.825</v>
      </c>
      <c r="K76" s="5" t="n">
        <f aca="false">D76*H76</f>
        <v>0</v>
      </c>
      <c r="L76" s="4" t="s">
        <v>83</v>
      </c>
      <c r="M76" s="3" t="s">
        <v>21</v>
      </c>
    </row>
    <row r="77" customFormat="false" ht="21.75" hidden="false" customHeight="true" outlineLevel="0" collapsed="false">
      <c r="A77" s="3"/>
      <c r="B77" s="3" t="n">
        <v>76</v>
      </c>
      <c r="C77" s="4" t="s">
        <v>102</v>
      </c>
      <c r="D77" s="5" t="n">
        <v>4.18</v>
      </c>
      <c r="E77" s="8" t="s">
        <v>19</v>
      </c>
      <c r="F77" s="7" t="n">
        <v>0.5</v>
      </c>
      <c r="G77" s="7" t="n">
        <v>0.5</v>
      </c>
      <c r="H77" s="7" t="n">
        <v>0</v>
      </c>
      <c r="I77" s="5" t="n">
        <f aca="false">D77*F77</f>
        <v>2.09</v>
      </c>
      <c r="J77" s="5" t="n">
        <f aca="false">D77*G77</f>
        <v>2.09</v>
      </c>
      <c r="K77" s="5" t="n">
        <f aca="false">D77*H77</f>
        <v>0</v>
      </c>
      <c r="L77" s="4" t="s">
        <v>83</v>
      </c>
      <c r="M77" s="3" t="s">
        <v>21</v>
      </c>
    </row>
    <row r="78" customFormat="false" ht="21.75" hidden="false" customHeight="true" outlineLevel="0" collapsed="false">
      <c r="A78" s="3"/>
      <c r="B78" s="3" t="n">
        <v>77</v>
      </c>
      <c r="C78" s="4" t="s">
        <v>103</v>
      </c>
      <c r="D78" s="5" t="n">
        <v>3.2</v>
      </c>
      <c r="E78" s="8" t="s">
        <v>19</v>
      </c>
      <c r="F78" s="7" t="n">
        <v>0.5</v>
      </c>
      <c r="G78" s="7" t="n">
        <v>0.5</v>
      </c>
      <c r="H78" s="7" t="n">
        <v>0</v>
      </c>
      <c r="I78" s="5" t="n">
        <f aca="false">D78*F78</f>
        <v>1.6</v>
      </c>
      <c r="J78" s="5" t="n">
        <f aca="false">D78*G78</f>
        <v>1.6</v>
      </c>
      <c r="K78" s="5" t="n">
        <f aca="false">D78*H78</f>
        <v>0</v>
      </c>
      <c r="L78" s="4" t="s">
        <v>83</v>
      </c>
      <c r="M78" s="3" t="s">
        <v>21</v>
      </c>
    </row>
    <row r="79" customFormat="false" ht="21.75" hidden="false" customHeight="true" outlineLevel="0" collapsed="false">
      <c r="A79" s="3"/>
      <c r="B79" s="3" t="n">
        <v>78</v>
      </c>
      <c r="C79" s="4" t="s">
        <v>104</v>
      </c>
      <c r="D79" s="5" t="n">
        <v>7.8</v>
      </c>
      <c r="E79" s="8" t="s">
        <v>19</v>
      </c>
      <c r="F79" s="7" t="n">
        <v>0.5</v>
      </c>
      <c r="G79" s="7" t="n">
        <v>0.5</v>
      </c>
      <c r="H79" s="7" t="n">
        <v>0</v>
      </c>
      <c r="I79" s="5" t="n">
        <f aca="false">D79*F79</f>
        <v>3.9</v>
      </c>
      <c r="J79" s="5" t="n">
        <f aca="false">D79*G79</f>
        <v>3.9</v>
      </c>
      <c r="K79" s="5" t="n">
        <f aca="false">D79*H79</f>
        <v>0</v>
      </c>
      <c r="L79" s="4" t="s">
        <v>83</v>
      </c>
      <c r="M79" s="3" t="s">
        <v>21</v>
      </c>
    </row>
    <row r="80" customFormat="false" ht="21.75" hidden="false" customHeight="true" outlineLevel="0" collapsed="false">
      <c r="A80" s="3"/>
      <c r="B80" s="3" t="n">
        <v>79</v>
      </c>
      <c r="C80" s="4" t="s">
        <v>105</v>
      </c>
      <c r="D80" s="5" t="n">
        <v>6.6</v>
      </c>
      <c r="E80" s="8" t="s">
        <v>19</v>
      </c>
      <c r="F80" s="7" t="n">
        <v>0.5</v>
      </c>
      <c r="G80" s="7" t="n">
        <v>0.5</v>
      </c>
      <c r="H80" s="7" t="n">
        <v>0</v>
      </c>
      <c r="I80" s="5" t="n">
        <f aca="false">D80*F80</f>
        <v>3.3</v>
      </c>
      <c r="J80" s="5" t="n">
        <f aca="false">D80*G80</f>
        <v>3.3</v>
      </c>
      <c r="K80" s="5" t="n">
        <f aca="false">D80*H80</f>
        <v>0</v>
      </c>
      <c r="L80" s="4" t="s">
        <v>83</v>
      </c>
      <c r="M80" s="3" t="s">
        <v>21</v>
      </c>
    </row>
    <row r="81" customFormat="false" ht="21.75" hidden="false" customHeight="true" outlineLevel="0" collapsed="false">
      <c r="A81" s="3"/>
      <c r="B81" s="3" t="n">
        <v>80</v>
      </c>
      <c r="C81" s="4" t="s">
        <v>106</v>
      </c>
      <c r="D81" s="5" t="n">
        <v>5.25</v>
      </c>
      <c r="E81" s="8" t="s">
        <v>19</v>
      </c>
      <c r="F81" s="7" t="n">
        <v>0.5</v>
      </c>
      <c r="G81" s="7" t="n">
        <v>0.5</v>
      </c>
      <c r="H81" s="7" t="n">
        <v>0</v>
      </c>
      <c r="I81" s="5" t="n">
        <f aca="false">D81*F81</f>
        <v>2.625</v>
      </c>
      <c r="J81" s="5" t="n">
        <f aca="false">D81*G81</f>
        <v>2.625</v>
      </c>
      <c r="K81" s="5" t="n">
        <f aca="false">D81*H81</f>
        <v>0</v>
      </c>
      <c r="L81" s="4" t="s">
        <v>83</v>
      </c>
      <c r="M81" s="3" t="s">
        <v>21</v>
      </c>
    </row>
    <row r="82" customFormat="false" ht="21.75" hidden="false" customHeight="true" outlineLevel="0" collapsed="false">
      <c r="A82" s="3"/>
      <c r="B82" s="3" t="n">
        <v>81</v>
      </c>
      <c r="C82" s="4" t="s">
        <v>107</v>
      </c>
      <c r="D82" s="5" t="n">
        <v>4.75</v>
      </c>
      <c r="E82" s="8" t="s">
        <v>19</v>
      </c>
      <c r="F82" s="7" t="n">
        <v>0.5</v>
      </c>
      <c r="G82" s="7" t="n">
        <v>0.5</v>
      </c>
      <c r="H82" s="7" t="n">
        <v>0</v>
      </c>
      <c r="I82" s="5" t="n">
        <f aca="false">D82*F82</f>
        <v>2.375</v>
      </c>
      <c r="J82" s="5" t="n">
        <f aca="false">D82*G82</f>
        <v>2.375</v>
      </c>
      <c r="K82" s="5" t="n">
        <f aca="false">D82*H82</f>
        <v>0</v>
      </c>
      <c r="L82" s="4" t="s">
        <v>74</v>
      </c>
      <c r="M82" s="3" t="s">
        <v>21</v>
      </c>
    </row>
    <row r="83" customFormat="false" ht="21.75" hidden="false" customHeight="true" outlineLevel="0" collapsed="false">
      <c r="A83" s="3"/>
      <c r="B83" s="3" t="n">
        <v>82</v>
      </c>
      <c r="C83" s="4" t="s">
        <v>108</v>
      </c>
      <c r="D83" s="5" t="n">
        <v>2.05</v>
      </c>
      <c r="E83" s="8" t="s">
        <v>19</v>
      </c>
      <c r="F83" s="7" t="n">
        <v>0.5</v>
      </c>
      <c r="G83" s="7" t="n">
        <v>0.5</v>
      </c>
      <c r="H83" s="7" t="n">
        <v>0</v>
      </c>
      <c r="I83" s="5" t="n">
        <f aca="false">D83*F83</f>
        <v>1.025</v>
      </c>
      <c r="J83" s="5" t="n">
        <f aca="false">D83*G83</f>
        <v>1.025</v>
      </c>
      <c r="K83" s="5" t="n">
        <f aca="false">D83*H83</f>
        <v>0</v>
      </c>
      <c r="L83" s="4" t="s">
        <v>83</v>
      </c>
      <c r="M83" s="3" t="s">
        <v>21</v>
      </c>
    </row>
    <row r="84" customFormat="false" ht="15" hidden="false" customHeight="true" outlineLevel="0" collapsed="false">
      <c r="A84" s="3"/>
      <c r="B84" s="3" t="n">
        <v>83</v>
      </c>
      <c r="C84" s="4" t="s">
        <v>109</v>
      </c>
      <c r="D84" s="5" t="n">
        <v>43.13</v>
      </c>
      <c r="E84" s="6" t="s">
        <v>15</v>
      </c>
      <c r="F84" s="7" t="n">
        <v>0</v>
      </c>
      <c r="G84" s="7" t="n">
        <v>1</v>
      </c>
      <c r="H84" s="7" t="n">
        <v>0</v>
      </c>
      <c r="I84" s="5" t="n">
        <f aca="false">D84*F84</f>
        <v>0</v>
      </c>
      <c r="J84" s="5" t="n">
        <f aca="false">D84*G84</f>
        <v>43.13</v>
      </c>
      <c r="K84" s="5" t="n">
        <f aca="false">D84*H84</f>
        <v>0</v>
      </c>
      <c r="L84" s="4" t="s">
        <v>110</v>
      </c>
      <c r="M84" s="3" t="s">
        <v>45</v>
      </c>
    </row>
    <row r="85" customFormat="false" ht="21.75" hidden="false" customHeight="true" outlineLevel="0" collapsed="false">
      <c r="A85" s="3"/>
      <c r="B85" s="3" t="n">
        <v>84</v>
      </c>
      <c r="C85" s="4" t="s">
        <v>111</v>
      </c>
      <c r="D85" s="5" t="n">
        <v>14.48</v>
      </c>
      <c r="E85" s="8" t="s">
        <v>19</v>
      </c>
      <c r="F85" s="7" t="n">
        <v>0.5</v>
      </c>
      <c r="G85" s="7" t="n">
        <v>0.5</v>
      </c>
      <c r="H85" s="7" t="n">
        <v>0</v>
      </c>
      <c r="I85" s="5" t="n">
        <f aca="false">D85*F85</f>
        <v>7.24</v>
      </c>
      <c r="J85" s="5" t="n">
        <f aca="false">D85*G85</f>
        <v>7.24</v>
      </c>
      <c r="K85" s="5" t="n">
        <f aca="false">D85*H85</f>
        <v>0</v>
      </c>
      <c r="L85" s="4" t="s">
        <v>20</v>
      </c>
      <c r="M85" s="3" t="s">
        <v>21</v>
      </c>
    </row>
    <row r="86" customFormat="false" ht="15" hidden="false" customHeight="true" outlineLevel="0" collapsed="false">
      <c r="A86" s="3"/>
      <c r="B86" s="3" t="n">
        <v>85</v>
      </c>
      <c r="C86" s="4" t="s">
        <v>112</v>
      </c>
      <c r="D86" s="5" t="n">
        <v>28.88</v>
      </c>
      <c r="E86" s="6" t="s">
        <v>15</v>
      </c>
      <c r="F86" s="7" t="n">
        <v>0</v>
      </c>
      <c r="G86" s="7" t="n">
        <v>1</v>
      </c>
      <c r="H86" s="7" t="n">
        <v>0</v>
      </c>
      <c r="I86" s="5" t="n">
        <f aca="false">D86*F86</f>
        <v>0</v>
      </c>
      <c r="J86" s="5" t="n">
        <f aca="false">D86*G86</f>
        <v>28.88</v>
      </c>
      <c r="K86" s="5" t="n">
        <f aca="false">D86*H86</f>
        <v>0</v>
      </c>
      <c r="L86" s="4" t="s">
        <v>32</v>
      </c>
      <c r="M86" s="3" t="s">
        <v>17</v>
      </c>
    </row>
    <row r="87" customFormat="false" ht="21.75" hidden="false" customHeight="true" outlineLevel="0" collapsed="false">
      <c r="A87" s="3"/>
      <c r="B87" s="3" t="n">
        <v>86</v>
      </c>
      <c r="C87" s="4" t="s">
        <v>113</v>
      </c>
      <c r="D87" s="5" t="n">
        <v>38.7</v>
      </c>
      <c r="E87" s="8" t="s">
        <v>19</v>
      </c>
      <c r="F87" s="7" t="n">
        <v>0.5</v>
      </c>
      <c r="G87" s="7" t="n">
        <v>0.5</v>
      </c>
      <c r="H87" s="7" t="n">
        <v>0</v>
      </c>
      <c r="I87" s="5" t="n">
        <f aca="false">D87*F87</f>
        <v>19.35</v>
      </c>
      <c r="J87" s="5" t="n">
        <f aca="false">D87*G87</f>
        <v>19.35</v>
      </c>
      <c r="K87" s="5" t="n">
        <f aca="false">D87*H87</f>
        <v>0</v>
      </c>
      <c r="L87" s="4" t="s">
        <v>20</v>
      </c>
      <c r="M87" s="3" t="s">
        <v>21</v>
      </c>
    </row>
    <row r="88" customFormat="false" ht="21.75" hidden="false" customHeight="true" outlineLevel="0" collapsed="false">
      <c r="A88" s="3"/>
      <c r="B88" s="3" t="n">
        <v>87</v>
      </c>
      <c r="C88" s="4" t="s">
        <v>114</v>
      </c>
      <c r="D88" s="5" t="n">
        <v>31.8</v>
      </c>
      <c r="E88" s="8" t="s">
        <v>19</v>
      </c>
      <c r="F88" s="7" t="n">
        <v>0.5</v>
      </c>
      <c r="G88" s="7" t="n">
        <v>0.5</v>
      </c>
      <c r="H88" s="7" t="n">
        <v>0</v>
      </c>
      <c r="I88" s="5" t="n">
        <f aca="false">D88*F88</f>
        <v>15.9</v>
      </c>
      <c r="J88" s="5" t="n">
        <f aca="false">D88*G88</f>
        <v>15.9</v>
      </c>
      <c r="K88" s="5" t="n">
        <f aca="false">D88*H88</f>
        <v>0</v>
      </c>
      <c r="L88" s="4" t="s">
        <v>20</v>
      </c>
      <c r="M88" s="3" t="s">
        <v>21</v>
      </c>
    </row>
    <row r="89" customFormat="false" ht="21.75" hidden="false" customHeight="true" outlineLevel="0" collapsed="false">
      <c r="A89" s="3"/>
      <c r="B89" s="3" t="n">
        <v>88</v>
      </c>
      <c r="C89" s="4" t="s">
        <v>115</v>
      </c>
      <c r="D89" s="5" t="n">
        <v>7</v>
      </c>
      <c r="E89" s="6" t="s">
        <v>15</v>
      </c>
      <c r="F89" s="7" t="n">
        <v>0</v>
      </c>
      <c r="G89" s="7" t="n">
        <v>1</v>
      </c>
      <c r="H89" s="7" t="n">
        <v>0</v>
      </c>
      <c r="I89" s="5" t="n">
        <f aca="false">D89*F89</f>
        <v>0</v>
      </c>
      <c r="J89" s="5" t="n">
        <f aca="false">D89*G89</f>
        <v>7</v>
      </c>
      <c r="K89" s="5" t="n">
        <f aca="false">D89*H89</f>
        <v>0</v>
      </c>
      <c r="L89" s="4" t="s">
        <v>44</v>
      </c>
      <c r="M89" s="3" t="s">
        <v>45</v>
      </c>
    </row>
    <row r="90" customFormat="false" ht="21.75" hidden="false" customHeight="true" outlineLevel="0" collapsed="false">
      <c r="A90" s="3"/>
      <c r="B90" s="3" t="n">
        <v>89</v>
      </c>
      <c r="C90" s="4" t="s">
        <v>116</v>
      </c>
      <c r="D90" s="5" t="n">
        <v>15.9</v>
      </c>
      <c r="E90" s="6" t="s">
        <v>15</v>
      </c>
      <c r="F90" s="7" t="n">
        <v>0</v>
      </c>
      <c r="G90" s="7" t="n">
        <v>1</v>
      </c>
      <c r="H90" s="7" t="n">
        <v>0</v>
      </c>
      <c r="I90" s="5" t="n">
        <f aca="false">D90*F90</f>
        <v>0</v>
      </c>
      <c r="J90" s="5" t="n">
        <f aca="false">D90*G90</f>
        <v>15.9</v>
      </c>
      <c r="K90" s="5" t="n">
        <f aca="false">D90*H90</f>
        <v>0</v>
      </c>
      <c r="L90" s="4" t="s">
        <v>44</v>
      </c>
      <c r="M90" s="3" t="s">
        <v>45</v>
      </c>
    </row>
    <row r="91" customFormat="false" ht="21.75" hidden="false" customHeight="true" outlineLevel="0" collapsed="false">
      <c r="A91" s="3"/>
      <c r="B91" s="3" t="n">
        <v>90</v>
      </c>
      <c r="C91" s="4" t="s">
        <v>117</v>
      </c>
      <c r="D91" s="5" t="n">
        <v>14.1</v>
      </c>
      <c r="E91" s="8" t="s">
        <v>19</v>
      </c>
      <c r="F91" s="7" t="n">
        <v>0.5</v>
      </c>
      <c r="G91" s="7" t="n">
        <v>0.5</v>
      </c>
      <c r="H91" s="7" t="n">
        <v>0</v>
      </c>
      <c r="I91" s="5" t="n">
        <f aca="false">D91*F91</f>
        <v>7.05</v>
      </c>
      <c r="J91" s="5" t="n">
        <f aca="false">D91*G91</f>
        <v>7.05</v>
      </c>
      <c r="K91" s="5" t="n">
        <f aca="false">D91*H91</f>
        <v>0</v>
      </c>
      <c r="L91" s="4" t="s">
        <v>68</v>
      </c>
      <c r="M91" s="3" t="s">
        <v>21</v>
      </c>
    </row>
    <row r="92" customFormat="false" ht="21.75" hidden="false" customHeight="true" outlineLevel="0" collapsed="false">
      <c r="A92" s="3"/>
      <c r="B92" s="3" t="n">
        <v>91</v>
      </c>
      <c r="C92" s="4" t="s">
        <v>118</v>
      </c>
      <c r="D92" s="5" t="n">
        <v>4.9</v>
      </c>
      <c r="E92" s="8" t="s">
        <v>19</v>
      </c>
      <c r="F92" s="7" t="n">
        <v>0.5</v>
      </c>
      <c r="G92" s="7" t="n">
        <v>0.5</v>
      </c>
      <c r="H92" s="7" t="n">
        <v>0</v>
      </c>
      <c r="I92" s="5" t="n">
        <f aca="false">D92*F92</f>
        <v>2.45</v>
      </c>
      <c r="J92" s="5" t="n">
        <f aca="false">D92*G92</f>
        <v>2.45</v>
      </c>
      <c r="K92" s="5" t="n">
        <f aca="false">D92*H92</f>
        <v>0</v>
      </c>
      <c r="L92" s="4" t="s">
        <v>68</v>
      </c>
      <c r="M92" s="3" t="s">
        <v>21</v>
      </c>
    </row>
    <row r="93" customFormat="false" ht="21.75" hidden="false" customHeight="true" outlineLevel="0" collapsed="false">
      <c r="A93" s="3"/>
      <c r="B93" s="3" t="n">
        <v>92</v>
      </c>
      <c r="C93" s="4" t="s">
        <v>119</v>
      </c>
      <c r="D93" s="5" t="n">
        <v>20</v>
      </c>
      <c r="E93" s="3" t="s">
        <v>120</v>
      </c>
      <c r="F93" s="7" t="n">
        <v>0.179</v>
      </c>
      <c r="G93" s="7" t="n">
        <v>0.821</v>
      </c>
      <c r="H93" s="7" t="n">
        <v>0</v>
      </c>
      <c r="I93" s="5" t="n">
        <f aca="false">D93*F93</f>
        <v>3.58</v>
      </c>
      <c r="J93" s="5" t="n">
        <f aca="false">D93*G93</f>
        <v>16.42</v>
      </c>
      <c r="K93" s="5" t="n">
        <f aca="false">D93*H93</f>
        <v>0</v>
      </c>
      <c r="L93" s="4" t="s">
        <v>121</v>
      </c>
      <c r="M93" s="3" t="s">
        <v>17</v>
      </c>
    </row>
    <row r="94" customFormat="false" ht="21.75" hidden="false" customHeight="true" outlineLevel="0" collapsed="false">
      <c r="A94" s="3"/>
      <c r="B94" s="3" t="n">
        <v>93</v>
      </c>
      <c r="C94" s="4" t="s">
        <v>122</v>
      </c>
      <c r="D94" s="5" t="n">
        <v>65</v>
      </c>
      <c r="E94" s="3" t="s">
        <v>120</v>
      </c>
      <c r="F94" s="7" t="n">
        <v>0.179</v>
      </c>
      <c r="G94" s="7" t="n">
        <v>0.821</v>
      </c>
      <c r="H94" s="7" t="n">
        <v>0</v>
      </c>
      <c r="I94" s="5" t="n">
        <f aca="false">D94*F94</f>
        <v>11.635</v>
      </c>
      <c r="J94" s="5" t="n">
        <f aca="false">D94*G94</f>
        <v>53.365</v>
      </c>
      <c r="K94" s="5" t="n">
        <f aca="false">D94*H94</f>
        <v>0</v>
      </c>
      <c r="L94" s="4" t="s">
        <v>121</v>
      </c>
      <c r="M94" s="3" t="s">
        <v>17</v>
      </c>
    </row>
    <row r="95" customFormat="false" ht="21.75" hidden="false" customHeight="true" outlineLevel="0" collapsed="false">
      <c r="A95" s="3"/>
      <c r="B95" s="3" t="n">
        <v>94</v>
      </c>
      <c r="C95" s="4" t="s">
        <v>123</v>
      </c>
      <c r="D95" s="5" t="n">
        <v>8.76</v>
      </c>
      <c r="E95" s="3" t="s">
        <v>120</v>
      </c>
      <c r="F95" s="7" t="n">
        <v>0.179</v>
      </c>
      <c r="G95" s="7" t="n">
        <v>0.821</v>
      </c>
      <c r="H95" s="7" t="n">
        <v>0</v>
      </c>
      <c r="I95" s="5" t="n">
        <f aca="false">D95*F95</f>
        <v>1.56804</v>
      </c>
      <c r="J95" s="5" t="n">
        <f aca="false">D95*G95</f>
        <v>7.19196</v>
      </c>
      <c r="K95" s="5" t="n">
        <f aca="false">D95*H95</f>
        <v>0</v>
      </c>
      <c r="L95" s="4" t="s">
        <v>121</v>
      </c>
      <c r="M95" s="3" t="s">
        <v>17</v>
      </c>
    </row>
    <row r="96" customFormat="false" ht="21.75" hidden="false" customHeight="true" outlineLevel="0" collapsed="false">
      <c r="A96" s="3" t="s">
        <v>124</v>
      </c>
      <c r="B96" s="3" t="n">
        <v>1</v>
      </c>
      <c r="C96" s="4" t="s">
        <v>125</v>
      </c>
      <c r="D96" s="5" t="n">
        <v>8.6</v>
      </c>
      <c r="E96" s="6" t="s">
        <v>15</v>
      </c>
      <c r="F96" s="7" t="n">
        <v>0</v>
      </c>
      <c r="G96" s="7" t="n">
        <v>1</v>
      </c>
      <c r="H96" s="7" t="n">
        <v>0</v>
      </c>
      <c r="I96" s="5" t="n">
        <f aca="false">D96*F96</f>
        <v>0</v>
      </c>
      <c r="J96" s="5" t="n">
        <f aca="false">D96*G96</f>
        <v>8.6</v>
      </c>
      <c r="K96" s="5" t="n">
        <f aca="false">D96*H96</f>
        <v>0</v>
      </c>
      <c r="L96" s="4" t="s">
        <v>16</v>
      </c>
      <c r="M96" s="3" t="s">
        <v>17</v>
      </c>
    </row>
    <row r="97" customFormat="false" ht="21.75" hidden="false" customHeight="true" outlineLevel="0" collapsed="false">
      <c r="A97" s="3"/>
      <c r="B97" s="3" t="n">
        <v>2</v>
      </c>
      <c r="C97" s="4" t="s">
        <v>126</v>
      </c>
      <c r="D97" s="5" t="n">
        <v>36.5</v>
      </c>
      <c r="E97" s="8" t="s">
        <v>19</v>
      </c>
      <c r="F97" s="7" t="n">
        <v>0.5</v>
      </c>
      <c r="G97" s="7" t="n">
        <v>0.5</v>
      </c>
      <c r="H97" s="7" t="n">
        <v>0</v>
      </c>
      <c r="I97" s="5" t="n">
        <f aca="false">D97*F97</f>
        <v>18.25</v>
      </c>
      <c r="J97" s="5" t="n">
        <f aca="false">D97*G97</f>
        <v>18.25</v>
      </c>
      <c r="K97" s="5" t="n">
        <f aca="false">D97*H97</f>
        <v>0</v>
      </c>
      <c r="L97" s="4" t="s">
        <v>20</v>
      </c>
      <c r="M97" s="3" t="s">
        <v>21</v>
      </c>
    </row>
    <row r="98" customFormat="false" ht="21.75" hidden="false" customHeight="true" outlineLevel="0" collapsed="false">
      <c r="A98" s="3"/>
      <c r="B98" s="3" t="n">
        <v>3</v>
      </c>
      <c r="C98" s="4" t="s">
        <v>127</v>
      </c>
      <c r="D98" s="5" t="n">
        <v>4.46</v>
      </c>
      <c r="E98" s="6" t="s">
        <v>15</v>
      </c>
      <c r="F98" s="7" t="n">
        <v>0</v>
      </c>
      <c r="G98" s="7" t="n">
        <v>1</v>
      </c>
      <c r="H98" s="7" t="n">
        <v>0</v>
      </c>
      <c r="I98" s="5" t="n">
        <f aca="false">D98*F98</f>
        <v>0</v>
      </c>
      <c r="J98" s="5" t="n">
        <f aca="false">D98*G98</f>
        <v>4.46</v>
      </c>
      <c r="K98" s="5" t="n">
        <f aca="false">D98*H98</f>
        <v>0</v>
      </c>
      <c r="L98" s="4" t="s">
        <v>16</v>
      </c>
      <c r="M98" s="3" t="s">
        <v>17</v>
      </c>
    </row>
    <row r="99" customFormat="false" ht="21.75" hidden="false" customHeight="true" outlineLevel="0" collapsed="false">
      <c r="A99" s="3"/>
      <c r="B99" s="3" t="n">
        <v>4</v>
      </c>
      <c r="C99" s="4" t="s">
        <v>64</v>
      </c>
      <c r="D99" s="5" t="n">
        <v>5.36</v>
      </c>
      <c r="E99" s="6" t="s">
        <v>15</v>
      </c>
      <c r="F99" s="7" t="n">
        <v>0</v>
      </c>
      <c r="G99" s="7" t="n">
        <v>1</v>
      </c>
      <c r="H99" s="7" t="n">
        <v>0</v>
      </c>
      <c r="I99" s="5" t="n">
        <f aca="false">D99*F99</f>
        <v>0</v>
      </c>
      <c r="J99" s="5" t="n">
        <f aca="false">D99*G99</f>
        <v>5.36</v>
      </c>
      <c r="K99" s="5" t="n">
        <f aca="false">D99*H99</f>
        <v>0</v>
      </c>
      <c r="L99" s="4" t="s">
        <v>16</v>
      </c>
      <c r="M99" s="3" t="s">
        <v>17</v>
      </c>
    </row>
    <row r="100" customFormat="false" ht="21.75" hidden="false" customHeight="true" outlineLevel="0" collapsed="false">
      <c r="A100" s="3"/>
      <c r="B100" s="3" t="n">
        <v>5</v>
      </c>
      <c r="C100" s="4" t="s">
        <v>128</v>
      </c>
      <c r="D100" s="5" t="n">
        <v>13.42</v>
      </c>
      <c r="E100" s="8" t="s">
        <v>19</v>
      </c>
      <c r="F100" s="7" t="n">
        <v>0.5</v>
      </c>
      <c r="G100" s="7" t="n">
        <v>0.5</v>
      </c>
      <c r="H100" s="7" t="n">
        <v>0</v>
      </c>
      <c r="I100" s="5" t="n">
        <f aca="false">D100*F100</f>
        <v>6.71</v>
      </c>
      <c r="J100" s="5" t="n">
        <f aca="false">D100*G100</f>
        <v>6.71</v>
      </c>
      <c r="K100" s="5" t="n">
        <f aca="false">D100*H100</f>
        <v>0</v>
      </c>
      <c r="L100" s="4" t="s">
        <v>83</v>
      </c>
      <c r="M100" s="3" t="s">
        <v>21</v>
      </c>
    </row>
    <row r="101" customFormat="false" ht="21.75" hidden="false" customHeight="true" outlineLevel="0" collapsed="false">
      <c r="A101" s="3"/>
      <c r="B101" s="3" t="n">
        <v>6</v>
      </c>
      <c r="C101" s="4" t="s">
        <v>129</v>
      </c>
      <c r="D101" s="5" t="n">
        <v>13.85</v>
      </c>
      <c r="E101" s="8" t="s">
        <v>19</v>
      </c>
      <c r="F101" s="7" t="n">
        <v>0.5</v>
      </c>
      <c r="G101" s="7" t="n">
        <v>0.5</v>
      </c>
      <c r="H101" s="7" t="n">
        <v>0</v>
      </c>
      <c r="I101" s="5" t="n">
        <f aca="false">D101*F101</f>
        <v>6.925</v>
      </c>
      <c r="J101" s="5" t="n">
        <f aca="false">D101*G101</f>
        <v>6.925</v>
      </c>
      <c r="K101" s="5" t="n">
        <f aca="false">D101*H101</f>
        <v>0</v>
      </c>
      <c r="L101" s="4" t="s">
        <v>83</v>
      </c>
      <c r="M101" s="3" t="s">
        <v>21</v>
      </c>
    </row>
    <row r="102" customFormat="false" ht="21.75" hidden="false" customHeight="true" outlineLevel="0" collapsed="false">
      <c r="A102" s="3"/>
      <c r="B102" s="3" t="n">
        <v>7</v>
      </c>
      <c r="C102" s="4" t="s">
        <v>130</v>
      </c>
      <c r="D102" s="5" t="n">
        <v>3.28</v>
      </c>
      <c r="E102" s="8" t="s">
        <v>19</v>
      </c>
      <c r="F102" s="7" t="n">
        <v>0.5</v>
      </c>
      <c r="G102" s="7" t="n">
        <v>0.5</v>
      </c>
      <c r="H102" s="7" t="n">
        <v>0</v>
      </c>
      <c r="I102" s="5" t="n">
        <f aca="false">D102*F102</f>
        <v>1.64</v>
      </c>
      <c r="J102" s="5" t="n">
        <f aca="false">D102*G102</f>
        <v>1.64</v>
      </c>
      <c r="K102" s="5" t="n">
        <f aca="false">D102*H102</f>
        <v>0</v>
      </c>
      <c r="L102" s="4" t="s">
        <v>20</v>
      </c>
      <c r="M102" s="3" t="s">
        <v>21</v>
      </c>
    </row>
    <row r="103" customFormat="false" ht="21.75" hidden="false" customHeight="true" outlineLevel="0" collapsed="false">
      <c r="A103" s="3"/>
      <c r="B103" s="3" t="n">
        <v>8</v>
      </c>
      <c r="C103" s="4" t="s">
        <v>131</v>
      </c>
      <c r="D103" s="5" t="n">
        <v>1.2</v>
      </c>
      <c r="E103" s="8" t="s">
        <v>19</v>
      </c>
      <c r="F103" s="7" t="n">
        <v>0.5</v>
      </c>
      <c r="G103" s="7" t="n">
        <v>0.5</v>
      </c>
      <c r="H103" s="7" t="n">
        <v>0</v>
      </c>
      <c r="I103" s="5" t="n">
        <f aca="false">D103*F103</f>
        <v>0.6</v>
      </c>
      <c r="J103" s="5" t="n">
        <f aca="false">D103*G103</f>
        <v>0.6</v>
      </c>
      <c r="K103" s="5" t="n">
        <f aca="false">D103*H103</f>
        <v>0</v>
      </c>
      <c r="L103" s="4" t="s">
        <v>20</v>
      </c>
      <c r="M103" s="3" t="s">
        <v>21</v>
      </c>
    </row>
    <row r="104" customFormat="false" ht="21.75" hidden="false" customHeight="true" outlineLevel="0" collapsed="false">
      <c r="A104" s="3"/>
      <c r="B104" s="3" t="n">
        <v>9</v>
      </c>
      <c r="C104" s="4" t="s">
        <v>56</v>
      </c>
      <c r="D104" s="5" t="n">
        <v>1.38</v>
      </c>
      <c r="E104" s="6" t="s">
        <v>15</v>
      </c>
      <c r="F104" s="7" t="n">
        <v>0</v>
      </c>
      <c r="G104" s="7" t="n">
        <v>1</v>
      </c>
      <c r="H104" s="7" t="n">
        <v>0</v>
      </c>
      <c r="I104" s="5" t="n">
        <f aca="false">D104*F104</f>
        <v>0</v>
      </c>
      <c r="J104" s="5" t="n">
        <f aca="false">D104*G104</f>
        <v>1.38</v>
      </c>
      <c r="K104" s="5" t="n">
        <f aca="false">D104*H104</f>
        <v>0</v>
      </c>
      <c r="L104" s="4" t="s">
        <v>16</v>
      </c>
      <c r="M104" s="3" t="s">
        <v>17</v>
      </c>
    </row>
    <row r="105" customFormat="false" ht="21.75" hidden="false" customHeight="true" outlineLevel="0" collapsed="false">
      <c r="A105" s="3"/>
      <c r="B105" s="3" t="n">
        <v>10</v>
      </c>
      <c r="C105" s="4" t="s">
        <v>132</v>
      </c>
      <c r="D105" s="5" t="n">
        <v>6.78</v>
      </c>
      <c r="E105" s="6" t="s">
        <v>15</v>
      </c>
      <c r="F105" s="7" t="n">
        <v>0</v>
      </c>
      <c r="G105" s="7" t="n">
        <v>1</v>
      </c>
      <c r="H105" s="7" t="n">
        <v>0</v>
      </c>
      <c r="I105" s="5" t="n">
        <f aca="false">D105*F105</f>
        <v>0</v>
      </c>
      <c r="J105" s="5" t="n">
        <f aca="false">D105*G105</f>
        <v>6.78</v>
      </c>
      <c r="K105" s="5" t="n">
        <f aca="false">D105*H105</f>
        <v>0</v>
      </c>
      <c r="L105" s="4" t="s">
        <v>16</v>
      </c>
      <c r="M105" s="3" t="s">
        <v>17</v>
      </c>
    </row>
    <row r="106" customFormat="false" ht="21.75" hidden="false" customHeight="true" outlineLevel="0" collapsed="false">
      <c r="A106" s="3"/>
      <c r="B106" s="3" t="n">
        <v>11</v>
      </c>
      <c r="C106" s="4" t="s">
        <v>133</v>
      </c>
      <c r="D106" s="5" t="n">
        <v>7.4</v>
      </c>
      <c r="E106" s="8" t="s">
        <v>19</v>
      </c>
      <c r="F106" s="7" t="n">
        <v>0.5</v>
      </c>
      <c r="G106" s="7" t="n">
        <v>0.5</v>
      </c>
      <c r="H106" s="7" t="n">
        <v>0</v>
      </c>
      <c r="I106" s="5" t="n">
        <f aca="false">D106*F106</f>
        <v>3.7</v>
      </c>
      <c r="J106" s="5" t="n">
        <f aca="false">D106*G106</f>
        <v>3.7</v>
      </c>
      <c r="K106" s="5" t="n">
        <f aca="false">D106*H106</f>
        <v>0</v>
      </c>
      <c r="L106" s="4" t="s">
        <v>83</v>
      </c>
      <c r="M106" s="3" t="s">
        <v>21</v>
      </c>
    </row>
    <row r="107" customFormat="false" ht="21.75" hidden="false" customHeight="true" outlineLevel="0" collapsed="false">
      <c r="A107" s="3"/>
      <c r="B107" s="3" t="n">
        <v>12</v>
      </c>
      <c r="C107" s="4" t="s">
        <v>134</v>
      </c>
      <c r="D107" s="5" t="n">
        <v>1.2</v>
      </c>
      <c r="E107" s="8" t="s">
        <v>19</v>
      </c>
      <c r="F107" s="7" t="n">
        <v>0.5</v>
      </c>
      <c r="G107" s="7" t="n">
        <v>0.5</v>
      </c>
      <c r="H107" s="7" t="n">
        <v>0</v>
      </c>
      <c r="I107" s="5" t="n">
        <f aca="false">D107*F107</f>
        <v>0.6</v>
      </c>
      <c r="J107" s="5" t="n">
        <f aca="false">D107*G107</f>
        <v>0.6</v>
      </c>
      <c r="K107" s="5" t="n">
        <f aca="false">D107*H107</f>
        <v>0</v>
      </c>
      <c r="L107" s="4" t="s">
        <v>83</v>
      </c>
      <c r="M107" s="3" t="s">
        <v>21</v>
      </c>
    </row>
    <row r="108" customFormat="false" ht="21.75" hidden="false" customHeight="true" outlineLevel="0" collapsed="false">
      <c r="A108" s="3"/>
      <c r="B108" s="3" t="n">
        <v>13</v>
      </c>
      <c r="C108" s="4" t="s">
        <v>94</v>
      </c>
      <c r="D108" s="5" t="n">
        <v>28.3</v>
      </c>
      <c r="E108" s="8" t="s">
        <v>19</v>
      </c>
      <c r="F108" s="7" t="n">
        <v>0.5</v>
      </c>
      <c r="G108" s="7" t="n">
        <v>0.5</v>
      </c>
      <c r="H108" s="7" t="n">
        <v>0</v>
      </c>
      <c r="I108" s="5" t="n">
        <f aca="false">D108*F108</f>
        <v>14.15</v>
      </c>
      <c r="J108" s="5" t="n">
        <f aca="false">D108*G108</f>
        <v>14.15</v>
      </c>
      <c r="K108" s="5" t="n">
        <f aca="false">D108*H108</f>
        <v>0</v>
      </c>
      <c r="L108" s="4" t="s">
        <v>83</v>
      </c>
      <c r="M108" s="3" t="s">
        <v>21</v>
      </c>
    </row>
    <row r="109" customFormat="false" ht="21.75" hidden="false" customHeight="true" outlineLevel="0" collapsed="false">
      <c r="A109" s="3"/>
      <c r="B109" s="3" t="n">
        <v>14</v>
      </c>
      <c r="C109" s="4" t="s">
        <v>84</v>
      </c>
      <c r="D109" s="5" t="n">
        <v>8.6</v>
      </c>
      <c r="E109" s="8" t="s">
        <v>19</v>
      </c>
      <c r="F109" s="7" t="n">
        <v>0.5</v>
      </c>
      <c r="G109" s="7" t="n">
        <v>0.5</v>
      </c>
      <c r="H109" s="7" t="n">
        <v>0</v>
      </c>
      <c r="I109" s="5" t="n">
        <f aca="false">D109*F109</f>
        <v>4.3</v>
      </c>
      <c r="J109" s="5" t="n">
        <f aca="false">D109*G109</f>
        <v>4.3</v>
      </c>
      <c r="K109" s="5" t="n">
        <f aca="false">D109*H109</f>
        <v>0</v>
      </c>
      <c r="L109" s="4" t="s">
        <v>83</v>
      </c>
      <c r="M109" s="3" t="s">
        <v>21</v>
      </c>
    </row>
    <row r="110" customFormat="false" ht="21.75" hidden="false" customHeight="true" outlineLevel="0" collapsed="false">
      <c r="A110" s="3"/>
      <c r="B110" s="3" t="n">
        <v>15</v>
      </c>
      <c r="C110" s="4" t="s">
        <v>135</v>
      </c>
      <c r="D110" s="5" t="n">
        <v>8.3</v>
      </c>
      <c r="E110" s="8" t="s">
        <v>19</v>
      </c>
      <c r="F110" s="7" t="n">
        <v>0.5</v>
      </c>
      <c r="G110" s="7" t="n">
        <v>0.5</v>
      </c>
      <c r="H110" s="7" t="n">
        <v>0</v>
      </c>
      <c r="I110" s="5" t="n">
        <f aca="false">D110*F110</f>
        <v>4.15</v>
      </c>
      <c r="J110" s="5" t="n">
        <f aca="false">D110*G110</f>
        <v>4.15</v>
      </c>
      <c r="K110" s="5" t="n">
        <f aca="false">D110*H110</f>
        <v>0</v>
      </c>
      <c r="L110" s="4" t="s">
        <v>83</v>
      </c>
      <c r="M110" s="3" t="s">
        <v>21</v>
      </c>
    </row>
    <row r="111" customFormat="false" ht="21.75" hidden="false" customHeight="true" outlineLevel="0" collapsed="false">
      <c r="A111" s="3"/>
      <c r="B111" s="3" t="n">
        <v>16</v>
      </c>
      <c r="C111" s="4" t="s">
        <v>106</v>
      </c>
      <c r="D111" s="5" t="n">
        <v>3.5</v>
      </c>
      <c r="E111" s="8" t="s">
        <v>19</v>
      </c>
      <c r="F111" s="7" t="n">
        <v>0.5</v>
      </c>
      <c r="G111" s="7" t="n">
        <v>0.5</v>
      </c>
      <c r="H111" s="7" t="n">
        <v>0</v>
      </c>
      <c r="I111" s="5" t="n">
        <f aca="false">D111*F111</f>
        <v>1.75</v>
      </c>
      <c r="J111" s="5" t="n">
        <f aca="false">D111*G111</f>
        <v>1.75</v>
      </c>
      <c r="K111" s="5" t="n">
        <f aca="false">D111*H111</f>
        <v>0</v>
      </c>
      <c r="L111" s="4" t="s">
        <v>83</v>
      </c>
      <c r="M111" s="3" t="s">
        <v>21</v>
      </c>
    </row>
    <row r="112" customFormat="false" ht="21.75" hidden="false" customHeight="true" outlineLevel="0" collapsed="false">
      <c r="A112" s="3"/>
      <c r="B112" s="3" t="n">
        <v>17</v>
      </c>
      <c r="C112" s="4" t="s">
        <v>123</v>
      </c>
      <c r="D112" s="5" t="n">
        <v>9</v>
      </c>
      <c r="E112" s="3" t="s">
        <v>120</v>
      </c>
      <c r="F112" s="7" t="n">
        <v>0.4126</v>
      </c>
      <c r="G112" s="7" t="n">
        <v>0.5874</v>
      </c>
      <c r="H112" s="7" t="n">
        <v>0</v>
      </c>
      <c r="I112" s="5" t="n">
        <f aca="false">D112*F112</f>
        <v>3.7134</v>
      </c>
      <c r="J112" s="5" t="n">
        <f aca="false">D112*G112</f>
        <v>5.2866</v>
      </c>
      <c r="K112" s="5" t="n">
        <f aca="false">D112*H112</f>
        <v>0</v>
      </c>
      <c r="L112" s="4" t="s">
        <v>121</v>
      </c>
      <c r="M112" s="3" t="s">
        <v>17</v>
      </c>
    </row>
    <row r="113" customFormat="false" ht="21.75" hidden="false" customHeight="true" outlineLevel="0" collapsed="false">
      <c r="A113" s="3" t="s">
        <v>136</v>
      </c>
      <c r="B113" s="3" t="n">
        <v>1</v>
      </c>
      <c r="C113" s="4" t="s">
        <v>137</v>
      </c>
      <c r="D113" s="5" t="n">
        <v>7.6</v>
      </c>
      <c r="E113" s="8" t="s">
        <v>19</v>
      </c>
      <c r="F113" s="7" t="n">
        <v>0.5</v>
      </c>
      <c r="G113" s="7" t="n">
        <v>0.5</v>
      </c>
      <c r="H113" s="7" t="n">
        <v>0</v>
      </c>
      <c r="I113" s="5" t="n">
        <f aca="false">D113*F113</f>
        <v>3.8</v>
      </c>
      <c r="J113" s="5" t="n">
        <f aca="false">D113*G113</f>
        <v>3.8</v>
      </c>
      <c r="K113" s="5" t="n">
        <f aca="false">D113*H113</f>
        <v>0</v>
      </c>
      <c r="L113" s="4" t="s">
        <v>20</v>
      </c>
      <c r="M113" s="3" t="s">
        <v>21</v>
      </c>
    </row>
    <row r="114" customFormat="false" ht="21.75" hidden="false" customHeight="true" outlineLevel="0" collapsed="false">
      <c r="A114" s="3"/>
      <c r="B114" s="3" t="n">
        <v>2</v>
      </c>
      <c r="C114" s="4" t="s">
        <v>138</v>
      </c>
      <c r="D114" s="5" t="n">
        <v>55.29</v>
      </c>
      <c r="E114" s="6" t="s">
        <v>15</v>
      </c>
      <c r="F114" s="7" t="n">
        <v>0</v>
      </c>
      <c r="G114" s="7" t="n">
        <v>1</v>
      </c>
      <c r="H114" s="7" t="n">
        <v>0</v>
      </c>
      <c r="I114" s="5" t="n">
        <f aca="false">D114*F114</f>
        <v>0</v>
      </c>
      <c r="J114" s="5" t="n">
        <f aca="false">D114*G114</f>
        <v>55.29</v>
      </c>
      <c r="K114" s="5" t="n">
        <f aca="false">D114*H114</f>
        <v>0</v>
      </c>
      <c r="L114" s="4" t="s">
        <v>16</v>
      </c>
      <c r="M114" s="3" t="s">
        <v>17</v>
      </c>
    </row>
    <row r="115" customFormat="false" ht="21.75" hidden="false" customHeight="true" outlineLevel="0" collapsed="false">
      <c r="A115" s="3"/>
      <c r="B115" s="3" t="n">
        <v>3</v>
      </c>
      <c r="C115" s="4" t="s">
        <v>27</v>
      </c>
      <c r="D115" s="5" t="n">
        <v>12.18</v>
      </c>
      <c r="E115" s="6" t="s">
        <v>15</v>
      </c>
      <c r="F115" s="7" t="n">
        <v>0</v>
      </c>
      <c r="G115" s="7" t="n">
        <v>1</v>
      </c>
      <c r="H115" s="7" t="n">
        <v>0</v>
      </c>
      <c r="I115" s="5" t="n">
        <f aca="false">D115*F115</f>
        <v>0</v>
      </c>
      <c r="J115" s="5" t="n">
        <f aca="false">D115*G115</f>
        <v>12.18</v>
      </c>
      <c r="K115" s="5" t="n">
        <f aca="false">D115*H115</f>
        <v>0</v>
      </c>
      <c r="L115" s="4" t="s">
        <v>16</v>
      </c>
      <c r="M115" s="3" t="s">
        <v>17</v>
      </c>
    </row>
    <row r="116" customFormat="false" ht="21.75" hidden="false" customHeight="true" outlineLevel="0" collapsed="false">
      <c r="A116" s="3"/>
      <c r="B116" s="3" t="n">
        <v>4</v>
      </c>
      <c r="C116" s="4" t="s">
        <v>139</v>
      </c>
      <c r="D116" s="5" t="n">
        <v>10.5</v>
      </c>
      <c r="E116" s="8" t="s">
        <v>19</v>
      </c>
      <c r="F116" s="7" t="n">
        <v>0.5</v>
      </c>
      <c r="G116" s="7" t="n">
        <v>0.5</v>
      </c>
      <c r="H116" s="7" t="n">
        <v>0</v>
      </c>
      <c r="I116" s="5" t="n">
        <f aca="false">D116*F116</f>
        <v>5.25</v>
      </c>
      <c r="J116" s="5" t="n">
        <f aca="false">D116*G116</f>
        <v>5.25</v>
      </c>
      <c r="K116" s="5" t="n">
        <f aca="false">D116*H116</f>
        <v>0</v>
      </c>
      <c r="L116" s="4" t="s">
        <v>20</v>
      </c>
      <c r="M116" s="3" t="s">
        <v>21</v>
      </c>
    </row>
    <row r="117" customFormat="false" ht="21.75" hidden="false" customHeight="true" outlineLevel="0" collapsed="false">
      <c r="A117" s="3"/>
      <c r="B117" s="3" t="n">
        <v>5</v>
      </c>
      <c r="C117" s="4" t="s">
        <v>140</v>
      </c>
      <c r="D117" s="5" t="n">
        <v>6.3</v>
      </c>
      <c r="E117" s="6" t="s">
        <v>15</v>
      </c>
      <c r="F117" s="7" t="n">
        <v>0</v>
      </c>
      <c r="G117" s="7" t="n">
        <v>1</v>
      </c>
      <c r="H117" s="7" t="n">
        <v>0</v>
      </c>
      <c r="I117" s="5" t="n">
        <f aca="false">D117*F117</f>
        <v>0</v>
      </c>
      <c r="J117" s="5" t="n">
        <f aca="false">D117*G117</f>
        <v>6.3</v>
      </c>
      <c r="K117" s="5" t="n">
        <f aca="false">D117*H117</f>
        <v>0</v>
      </c>
      <c r="L117" s="4" t="s">
        <v>16</v>
      </c>
      <c r="M117" s="3" t="s">
        <v>17</v>
      </c>
    </row>
    <row r="118" customFormat="false" ht="21.75" hidden="false" customHeight="true" outlineLevel="0" collapsed="false">
      <c r="A118" s="3"/>
      <c r="B118" s="3" t="n">
        <v>6</v>
      </c>
      <c r="C118" s="4" t="s">
        <v>46</v>
      </c>
      <c r="D118" s="5" t="n">
        <v>39.06</v>
      </c>
      <c r="E118" s="6" t="s">
        <v>15</v>
      </c>
      <c r="F118" s="7" t="n">
        <v>0</v>
      </c>
      <c r="G118" s="7" t="n">
        <v>1</v>
      </c>
      <c r="H118" s="7" t="n">
        <v>0</v>
      </c>
      <c r="I118" s="5" t="n">
        <f aca="false">D118*F118</f>
        <v>0</v>
      </c>
      <c r="J118" s="5" t="n">
        <f aca="false">D118*G118</f>
        <v>39.06</v>
      </c>
      <c r="K118" s="5" t="n">
        <f aca="false">D118*H118</f>
        <v>0</v>
      </c>
      <c r="L118" s="4" t="s">
        <v>44</v>
      </c>
      <c r="M118" s="3" t="s">
        <v>45</v>
      </c>
    </row>
    <row r="119" customFormat="false" ht="21.75" hidden="false" customHeight="true" outlineLevel="0" collapsed="false">
      <c r="A119" s="3"/>
      <c r="B119" s="3" t="n">
        <v>7</v>
      </c>
      <c r="C119" s="4" t="s">
        <v>141</v>
      </c>
      <c r="D119" s="5" t="n">
        <v>5.9</v>
      </c>
      <c r="E119" s="8" t="s">
        <v>19</v>
      </c>
      <c r="F119" s="7" t="n">
        <v>0.5</v>
      </c>
      <c r="G119" s="7" t="n">
        <v>0.5</v>
      </c>
      <c r="H119" s="7" t="n">
        <v>0</v>
      </c>
      <c r="I119" s="5" t="n">
        <f aca="false">D119*F119</f>
        <v>2.95</v>
      </c>
      <c r="J119" s="5" t="n">
        <f aca="false">D119*G119</f>
        <v>2.95</v>
      </c>
      <c r="K119" s="5" t="n">
        <f aca="false">D119*H119</f>
        <v>0</v>
      </c>
      <c r="L119" s="4" t="s">
        <v>20</v>
      </c>
      <c r="M119" s="3" t="s">
        <v>21</v>
      </c>
    </row>
    <row r="120" customFormat="false" ht="21.75" hidden="false" customHeight="true" outlineLevel="0" collapsed="false">
      <c r="A120" s="3"/>
      <c r="B120" s="3" t="n">
        <v>8</v>
      </c>
      <c r="C120" s="4" t="s">
        <v>142</v>
      </c>
      <c r="D120" s="5" t="n">
        <v>119</v>
      </c>
      <c r="E120" s="6" t="s">
        <v>15</v>
      </c>
      <c r="F120" s="7" t="n">
        <v>0</v>
      </c>
      <c r="G120" s="7" t="n">
        <v>1</v>
      </c>
      <c r="H120" s="7" t="n">
        <v>0</v>
      </c>
      <c r="I120" s="5" t="n">
        <f aca="false">D120*F120</f>
        <v>0</v>
      </c>
      <c r="J120" s="5" t="n">
        <f aca="false">D120*G120</f>
        <v>119</v>
      </c>
      <c r="K120" s="5" t="n">
        <f aca="false">D120*H120</f>
        <v>0</v>
      </c>
      <c r="L120" s="4" t="s">
        <v>44</v>
      </c>
      <c r="M120" s="3" t="s">
        <v>45</v>
      </c>
    </row>
    <row r="121" customFormat="false" ht="21.75" hidden="false" customHeight="true" outlineLevel="0" collapsed="false">
      <c r="A121" s="3"/>
      <c r="B121" s="3" t="n">
        <v>9</v>
      </c>
      <c r="C121" s="4" t="s">
        <v>143</v>
      </c>
      <c r="D121" s="5" t="n">
        <v>221.8</v>
      </c>
      <c r="E121" s="8" t="s">
        <v>19</v>
      </c>
      <c r="F121" s="7" t="n">
        <v>0.5</v>
      </c>
      <c r="G121" s="7" t="n">
        <v>0.5</v>
      </c>
      <c r="H121" s="7" t="n">
        <v>0</v>
      </c>
      <c r="I121" s="5" t="n">
        <f aca="false">D121*F121</f>
        <v>110.9</v>
      </c>
      <c r="J121" s="5" t="n">
        <f aca="false">D121*G121</f>
        <v>110.9</v>
      </c>
      <c r="K121" s="5" t="n">
        <f aca="false">D121*H121</f>
        <v>0</v>
      </c>
      <c r="L121" s="4" t="s">
        <v>68</v>
      </c>
      <c r="M121" s="3" t="s">
        <v>21</v>
      </c>
    </row>
    <row r="122" customFormat="false" ht="21.75" hidden="false" customHeight="true" outlineLevel="0" collapsed="false">
      <c r="A122" s="3"/>
      <c r="B122" s="3" t="n">
        <v>10</v>
      </c>
      <c r="C122" s="4" t="s">
        <v>144</v>
      </c>
      <c r="D122" s="5" t="n">
        <v>91.16</v>
      </c>
      <c r="E122" s="8" t="s">
        <v>19</v>
      </c>
      <c r="F122" s="7" t="n">
        <v>0.5</v>
      </c>
      <c r="G122" s="7" t="n">
        <v>0.5</v>
      </c>
      <c r="H122" s="7" t="n">
        <v>0</v>
      </c>
      <c r="I122" s="5" t="n">
        <f aca="false">D122*F122</f>
        <v>45.58</v>
      </c>
      <c r="J122" s="5" t="n">
        <f aca="false">D122*G122</f>
        <v>45.58</v>
      </c>
      <c r="K122" s="5" t="n">
        <f aca="false">D122*H122</f>
        <v>0</v>
      </c>
      <c r="L122" s="4" t="s">
        <v>68</v>
      </c>
      <c r="M122" s="3" t="s">
        <v>21</v>
      </c>
    </row>
    <row r="123" customFormat="false" ht="21.75" hidden="false" customHeight="true" outlineLevel="0" collapsed="false">
      <c r="A123" s="3"/>
      <c r="B123" s="3" t="n">
        <v>11</v>
      </c>
      <c r="C123" s="4" t="s">
        <v>76</v>
      </c>
      <c r="D123" s="5" t="n">
        <v>96.03</v>
      </c>
      <c r="E123" s="8" t="s">
        <v>19</v>
      </c>
      <c r="F123" s="7" t="n">
        <v>0.5</v>
      </c>
      <c r="G123" s="7" t="n">
        <v>0.5</v>
      </c>
      <c r="H123" s="7" t="n">
        <v>0</v>
      </c>
      <c r="I123" s="5" t="n">
        <f aca="false">D123*F123</f>
        <v>48.015</v>
      </c>
      <c r="J123" s="5" t="n">
        <f aca="false">D123*G123</f>
        <v>48.015</v>
      </c>
      <c r="K123" s="5" t="n">
        <f aca="false">D123*H123</f>
        <v>0</v>
      </c>
      <c r="L123" s="4" t="s">
        <v>74</v>
      </c>
      <c r="M123" s="3" t="s">
        <v>21</v>
      </c>
    </row>
    <row r="124" customFormat="false" ht="21.75" hidden="false" customHeight="true" outlineLevel="0" collapsed="false">
      <c r="A124" s="3"/>
      <c r="B124" s="3" t="n">
        <v>12</v>
      </c>
      <c r="C124" s="4" t="s">
        <v>145</v>
      </c>
      <c r="D124" s="5" t="n">
        <v>122.55</v>
      </c>
      <c r="E124" s="8" t="s">
        <v>19</v>
      </c>
      <c r="F124" s="7" t="n">
        <v>0.5</v>
      </c>
      <c r="G124" s="7" t="n">
        <v>0.5</v>
      </c>
      <c r="H124" s="7" t="n">
        <v>0</v>
      </c>
      <c r="I124" s="5" t="n">
        <f aca="false">D124*F124</f>
        <v>61.275</v>
      </c>
      <c r="J124" s="5" t="n">
        <f aca="false">D124*G124</f>
        <v>61.275</v>
      </c>
      <c r="K124" s="5" t="n">
        <f aca="false">D124*H124</f>
        <v>0</v>
      </c>
      <c r="L124" s="4" t="s">
        <v>74</v>
      </c>
      <c r="M124" s="3" t="s">
        <v>21</v>
      </c>
    </row>
    <row r="125" customFormat="false" ht="21.75" hidden="false" customHeight="true" outlineLevel="0" collapsed="false">
      <c r="A125" s="3"/>
      <c r="B125" s="3" t="n">
        <v>13</v>
      </c>
      <c r="C125" s="4" t="s">
        <v>146</v>
      </c>
      <c r="D125" s="5" t="n">
        <v>11.01</v>
      </c>
      <c r="E125" s="8" t="s">
        <v>19</v>
      </c>
      <c r="F125" s="7" t="n">
        <v>0.5</v>
      </c>
      <c r="G125" s="7" t="n">
        <v>0.5</v>
      </c>
      <c r="H125" s="7" t="n">
        <v>0</v>
      </c>
      <c r="I125" s="5" t="n">
        <f aca="false">D125*F125</f>
        <v>5.505</v>
      </c>
      <c r="J125" s="5" t="n">
        <f aca="false">D125*G125</f>
        <v>5.505</v>
      </c>
      <c r="K125" s="5" t="n">
        <f aca="false">D125*H125</f>
        <v>0</v>
      </c>
      <c r="L125" s="4" t="s">
        <v>74</v>
      </c>
      <c r="M125" s="3" t="s">
        <v>21</v>
      </c>
    </row>
    <row r="126" customFormat="false" ht="21.75" hidden="false" customHeight="true" outlineLevel="0" collapsed="false">
      <c r="A126" s="3"/>
      <c r="B126" s="3" t="n">
        <v>14</v>
      </c>
      <c r="C126" s="4" t="s">
        <v>147</v>
      </c>
      <c r="D126" s="5" t="n">
        <v>11.35</v>
      </c>
      <c r="E126" s="8" t="s">
        <v>19</v>
      </c>
      <c r="F126" s="7" t="n">
        <v>0.5</v>
      </c>
      <c r="G126" s="7" t="n">
        <v>0.5</v>
      </c>
      <c r="H126" s="7" t="n">
        <v>0</v>
      </c>
      <c r="I126" s="5" t="n">
        <f aca="false">D126*F126</f>
        <v>5.675</v>
      </c>
      <c r="J126" s="5" t="n">
        <f aca="false">D126*G126</f>
        <v>5.675</v>
      </c>
      <c r="K126" s="5" t="n">
        <f aca="false">D126*H126</f>
        <v>0</v>
      </c>
      <c r="L126" s="4" t="s">
        <v>74</v>
      </c>
      <c r="M126" s="3" t="s">
        <v>21</v>
      </c>
    </row>
    <row r="127" customFormat="false" ht="21.75" hidden="false" customHeight="true" outlineLevel="0" collapsed="false">
      <c r="A127" s="3"/>
      <c r="B127" s="3" t="n">
        <v>15</v>
      </c>
      <c r="C127" s="4" t="s">
        <v>148</v>
      </c>
      <c r="D127" s="5" t="n">
        <v>109</v>
      </c>
      <c r="E127" s="9" t="s">
        <v>149</v>
      </c>
      <c r="F127" s="7" t="n">
        <v>0</v>
      </c>
      <c r="G127" s="7" t="n">
        <v>0</v>
      </c>
      <c r="H127" s="7" t="n">
        <v>1</v>
      </c>
      <c r="I127" s="5" t="n">
        <f aca="false">D127*F127</f>
        <v>0</v>
      </c>
      <c r="J127" s="5" t="n">
        <f aca="false">D127*G127</f>
        <v>0</v>
      </c>
      <c r="K127" s="5" t="n">
        <f aca="false">D127*H127</f>
        <v>109</v>
      </c>
      <c r="L127" s="4" t="s">
        <v>150</v>
      </c>
      <c r="M127" s="3" t="s">
        <v>17</v>
      </c>
    </row>
    <row r="128" customFormat="false" ht="21.75" hidden="false" customHeight="true" outlineLevel="0" collapsed="false">
      <c r="A128" s="3"/>
      <c r="B128" s="3" t="n">
        <v>16</v>
      </c>
      <c r="C128" s="4" t="s">
        <v>151</v>
      </c>
      <c r="D128" s="5" t="n">
        <v>6.04</v>
      </c>
      <c r="E128" s="8" t="s">
        <v>19</v>
      </c>
      <c r="F128" s="7" t="n">
        <v>0.5</v>
      </c>
      <c r="G128" s="7" t="n">
        <v>0.5</v>
      </c>
      <c r="H128" s="7" t="n">
        <v>0</v>
      </c>
      <c r="I128" s="5" t="n">
        <f aca="false">D128*F128</f>
        <v>3.02</v>
      </c>
      <c r="J128" s="5" t="n">
        <f aca="false">D128*G128</f>
        <v>3.02</v>
      </c>
      <c r="K128" s="5" t="n">
        <f aca="false">D128*H128</f>
        <v>0</v>
      </c>
      <c r="L128" s="4" t="s">
        <v>74</v>
      </c>
      <c r="M128" s="3" t="s">
        <v>21</v>
      </c>
    </row>
    <row r="129" customFormat="false" ht="21.75" hidden="false" customHeight="true" outlineLevel="0" collapsed="false">
      <c r="A129" s="3"/>
      <c r="B129" s="3" t="n">
        <v>17</v>
      </c>
      <c r="C129" s="4" t="s">
        <v>116</v>
      </c>
      <c r="D129" s="5" t="n">
        <v>23.85</v>
      </c>
      <c r="E129" s="6" t="s">
        <v>15</v>
      </c>
      <c r="F129" s="7" t="n">
        <v>0</v>
      </c>
      <c r="G129" s="7" t="n">
        <v>1</v>
      </c>
      <c r="H129" s="7" t="n">
        <v>0</v>
      </c>
      <c r="I129" s="5" t="n">
        <f aca="false">D129*F129</f>
        <v>0</v>
      </c>
      <c r="J129" s="5" t="n">
        <f aca="false">D129*G129</f>
        <v>23.85</v>
      </c>
      <c r="K129" s="5" t="n">
        <f aca="false">D129*H129</f>
        <v>0</v>
      </c>
      <c r="L129" s="4" t="s">
        <v>44</v>
      </c>
      <c r="M129" s="3" t="s">
        <v>45</v>
      </c>
    </row>
    <row r="130" customFormat="false" ht="21.75" hidden="false" customHeight="true" outlineLevel="0" collapsed="false">
      <c r="A130" s="3"/>
      <c r="B130" s="3" t="n">
        <v>18</v>
      </c>
      <c r="C130" s="4" t="s">
        <v>152</v>
      </c>
      <c r="D130" s="5" t="n">
        <v>4.6</v>
      </c>
      <c r="E130" s="8" t="s">
        <v>19</v>
      </c>
      <c r="F130" s="7" t="n">
        <v>0.5</v>
      </c>
      <c r="G130" s="7" t="n">
        <v>0.5</v>
      </c>
      <c r="H130" s="7" t="n">
        <v>0</v>
      </c>
      <c r="I130" s="5" t="n">
        <f aca="false">D130*F130</f>
        <v>2.3</v>
      </c>
      <c r="J130" s="5" t="n">
        <f aca="false">D130*G130</f>
        <v>2.3</v>
      </c>
      <c r="K130" s="5" t="n">
        <f aca="false">D130*H130</f>
        <v>0</v>
      </c>
      <c r="L130" s="4" t="s">
        <v>20</v>
      </c>
      <c r="M130" s="3" t="s">
        <v>21</v>
      </c>
    </row>
    <row r="131" customFormat="false" ht="21.75" hidden="false" customHeight="true" outlineLevel="0" collapsed="false">
      <c r="A131" s="3"/>
      <c r="B131" s="3" t="n">
        <v>19</v>
      </c>
      <c r="C131" s="4" t="s">
        <v>153</v>
      </c>
      <c r="D131" s="5" t="n">
        <v>10</v>
      </c>
      <c r="E131" s="3" t="s">
        <v>120</v>
      </c>
      <c r="F131" s="7" t="n">
        <v>0.3486</v>
      </c>
      <c r="G131" s="7" t="n">
        <v>0.6514</v>
      </c>
      <c r="H131" s="7" t="n">
        <v>0</v>
      </c>
      <c r="I131" s="5" t="n">
        <f aca="false">D131*F131</f>
        <v>3.486</v>
      </c>
      <c r="J131" s="5" t="n">
        <f aca="false">D131*G131</f>
        <v>6.514</v>
      </c>
      <c r="K131" s="5" t="n">
        <f aca="false">D131*H131</f>
        <v>0</v>
      </c>
      <c r="L131" s="4" t="s">
        <v>121</v>
      </c>
      <c r="M131" s="3" t="s">
        <v>17</v>
      </c>
    </row>
    <row r="132" customFormat="false" ht="21.75" hidden="false" customHeight="true" outlineLevel="0" collapsed="false">
      <c r="A132" s="3"/>
      <c r="B132" s="3" t="n">
        <v>20</v>
      </c>
      <c r="C132" s="4" t="s">
        <v>122</v>
      </c>
      <c r="D132" s="5" t="n">
        <v>65</v>
      </c>
      <c r="E132" s="3" t="s">
        <v>120</v>
      </c>
      <c r="F132" s="7" t="n">
        <v>0.3486</v>
      </c>
      <c r="G132" s="7" t="n">
        <v>0.6514</v>
      </c>
      <c r="H132" s="7" t="n">
        <v>0</v>
      </c>
      <c r="I132" s="5" t="n">
        <f aca="false">D132*F132</f>
        <v>22.659</v>
      </c>
      <c r="J132" s="5" t="n">
        <f aca="false">D132*G132</f>
        <v>42.341</v>
      </c>
      <c r="K132" s="5" t="n">
        <f aca="false">D132*H132</f>
        <v>0</v>
      </c>
      <c r="L132" s="4" t="s">
        <v>121</v>
      </c>
      <c r="M132" s="3" t="s">
        <v>17</v>
      </c>
    </row>
    <row r="133" customFormat="false" ht="21.75" hidden="false" customHeight="true" outlineLevel="0" collapsed="false">
      <c r="A133" s="3"/>
      <c r="B133" s="3" t="n">
        <v>21</v>
      </c>
      <c r="C133" s="4" t="s">
        <v>123</v>
      </c>
      <c r="D133" s="5" t="n">
        <v>9</v>
      </c>
      <c r="E133" s="3" t="s">
        <v>120</v>
      </c>
      <c r="F133" s="7" t="n">
        <v>0.3486</v>
      </c>
      <c r="G133" s="7" t="n">
        <v>0.6514</v>
      </c>
      <c r="H133" s="7" t="n">
        <v>0</v>
      </c>
      <c r="I133" s="5" t="n">
        <f aca="false">D133*F133</f>
        <v>3.1374</v>
      </c>
      <c r="J133" s="5" t="n">
        <f aca="false">D133*G133</f>
        <v>5.8626</v>
      </c>
      <c r="K133" s="5" t="n">
        <f aca="false">D133*H133</f>
        <v>0</v>
      </c>
      <c r="L133" s="4" t="s">
        <v>121</v>
      </c>
      <c r="M133" s="3" t="s">
        <v>17</v>
      </c>
    </row>
    <row r="134" customFormat="false" ht="21.75" hidden="false" customHeight="true" outlineLevel="0" collapsed="false">
      <c r="A134" s="3" t="s">
        <v>154</v>
      </c>
      <c r="B134" s="3" t="n">
        <v>1</v>
      </c>
      <c r="C134" s="4" t="s">
        <v>155</v>
      </c>
      <c r="D134" s="5" t="n">
        <v>6.8</v>
      </c>
      <c r="E134" s="8" t="s">
        <v>19</v>
      </c>
      <c r="F134" s="7" t="n">
        <v>0.5</v>
      </c>
      <c r="G134" s="7" t="n">
        <v>0.5</v>
      </c>
      <c r="H134" s="7" t="n">
        <v>0</v>
      </c>
      <c r="I134" s="5" t="n">
        <f aca="false">D134*F134</f>
        <v>3.4</v>
      </c>
      <c r="J134" s="5" t="n">
        <f aca="false">D134*G134</f>
        <v>3.4</v>
      </c>
      <c r="K134" s="5" t="n">
        <f aca="false">D134*H134</f>
        <v>0</v>
      </c>
      <c r="L134" s="4" t="s">
        <v>20</v>
      </c>
      <c r="M134" s="3" t="s">
        <v>21</v>
      </c>
    </row>
    <row r="135" customFormat="false" ht="21.75" hidden="false" customHeight="true" outlineLevel="0" collapsed="false">
      <c r="A135" s="3"/>
      <c r="B135" s="3" t="n">
        <v>2</v>
      </c>
      <c r="C135" s="4" t="s">
        <v>156</v>
      </c>
      <c r="D135" s="5" t="n">
        <v>8.62</v>
      </c>
      <c r="E135" s="8" t="s">
        <v>19</v>
      </c>
      <c r="F135" s="7" t="n">
        <v>0.5</v>
      </c>
      <c r="G135" s="7" t="n">
        <v>0.5</v>
      </c>
      <c r="H135" s="7" t="n">
        <v>0</v>
      </c>
      <c r="I135" s="5" t="n">
        <f aca="false">D135*F135</f>
        <v>4.31</v>
      </c>
      <c r="J135" s="5" t="n">
        <f aca="false">D135*G135</f>
        <v>4.31</v>
      </c>
      <c r="K135" s="5" t="n">
        <f aca="false">D135*H135</f>
        <v>0</v>
      </c>
      <c r="L135" s="4" t="s">
        <v>20</v>
      </c>
      <c r="M135" s="3" t="s">
        <v>21</v>
      </c>
    </row>
    <row r="136" customFormat="false" ht="21.75" hidden="false" customHeight="true" outlineLevel="0" collapsed="false">
      <c r="A136" s="3"/>
      <c r="B136" s="3" t="n">
        <v>3</v>
      </c>
      <c r="C136" s="4" t="s">
        <v>18</v>
      </c>
      <c r="D136" s="5" t="n">
        <v>15.2</v>
      </c>
      <c r="E136" s="8" t="s">
        <v>19</v>
      </c>
      <c r="F136" s="7" t="n">
        <v>0.5</v>
      </c>
      <c r="G136" s="7" t="n">
        <v>0.5</v>
      </c>
      <c r="H136" s="7" t="n">
        <v>0</v>
      </c>
      <c r="I136" s="5" t="n">
        <f aca="false">D136*F136</f>
        <v>7.6</v>
      </c>
      <c r="J136" s="5" t="n">
        <f aca="false">D136*G136</f>
        <v>7.6</v>
      </c>
      <c r="K136" s="5" t="n">
        <f aca="false">D136*H136</f>
        <v>0</v>
      </c>
      <c r="L136" s="4" t="s">
        <v>20</v>
      </c>
      <c r="M136" s="3" t="s">
        <v>21</v>
      </c>
    </row>
    <row r="137" customFormat="false" ht="21.75" hidden="false" customHeight="true" outlineLevel="0" collapsed="false">
      <c r="A137" s="3"/>
      <c r="B137" s="3" t="n">
        <v>4</v>
      </c>
      <c r="C137" s="4" t="s">
        <v>157</v>
      </c>
      <c r="D137" s="5" t="n">
        <v>31.25</v>
      </c>
      <c r="E137" s="8" t="s">
        <v>19</v>
      </c>
      <c r="F137" s="7" t="n">
        <v>0.5</v>
      </c>
      <c r="G137" s="7" t="n">
        <v>0.5</v>
      </c>
      <c r="H137" s="7" t="n">
        <v>0</v>
      </c>
      <c r="I137" s="5" t="n">
        <f aca="false">D137*F137</f>
        <v>15.625</v>
      </c>
      <c r="J137" s="5" t="n">
        <f aca="false">D137*G137</f>
        <v>15.625</v>
      </c>
      <c r="K137" s="5" t="n">
        <f aca="false">D137*H137</f>
        <v>0</v>
      </c>
      <c r="L137" s="4" t="s">
        <v>68</v>
      </c>
      <c r="M137" s="3" t="s">
        <v>21</v>
      </c>
    </row>
    <row r="138" customFormat="false" ht="21.75" hidden="false" customHeight="true" outlineLevel="0" collapsed="false">
      <c r="A138" s="3"/>
      <c r="B138" s="3" t="n">
        <v>5</v>
      </c>
      <c r="C138" s="4" t="s">
        <v>158</v>
      </c>
      <c r="D138" s="5" t="n">
        <v>39.5</v>
      </c>
      <c r="E138" s="8" t="s">
        <v>19</v>
      </c>
      <c r="F138" s="7" t="n">
        <v>0.5</v>
      </c>
      <c r="G138" s="7" t="n">
        <v>0.5</v>
      </c>
      <c r="H138" s="7" t="n">
        <v>0</v>
      </c>
      <c r="I138" s="5" t="n">
        <f aca="false">D138*F138</f>
        <v>19.75</v>
      </c>
      <c r="J138" s="5" t="n">
        <f aca="false">D138*G138</f>
        <v>19.75</v>
      </c>
      <c r="K138" s="5" t="n">
        <f aca="false">D138*H138</f>
        <v>0</v>
      </c>
      <c r="L138" s="4" t="s">
        <v>20</v>
      </c>
      <c r="M138" s="3" t="s">
        <v>21</v>
      </c>
    </row>
    <row r="139" customFormat="false" ht="21.75" hidden="false" customHeight="true" outlineLevel="0" collapsed="false">
      <c r="A139" s="3"/>
      <c r="B139" s="3" t="n">
        <v>6</v>
      </c>
      <c r="C139" s="4" t="s">
        <v>122</v>
      </c>
      <c r="D139" s="5" t="n">
        <v>30</v>
      </c>
      <c r="E139" s="3" t="s">
        <v>120</v>
      </c>
      <c r="F139" s="7" t="n">
        <v>0.5</v>
      </c>
      <c r="G139" s="7" t="n">
        <v>0.5</v>
      </c>
      <c r="H139" s="7" t="n">
        <v>0</v>
      </c>
      <c r="I139" s="5" t="n">
        <f aca="false">D139*F139</f>
        <v>15</v>
      </c>
      <c r="J139" s="5" t="n">
        <f aca="false">D139*G139</f>
        <v>15</v>
      </c>
      <c r="K139" s="5" t="n">
        <f aca="false">D139*H139</f>
        <v>0</v>
      </c>
      <c r="L139" s="4" t="s">
        <v>121</v>
      </c>
      <c r="M139" s="3" t="s">
        <v>17</v>
      </c>
    </row>
    <row r="140" customFormat="false" ht="21.75" hidden="false" customHeight="true" outlineLevel="0" collapsed="false">
      <c r="A140" s="3"/>
      <c r="B140" s="3" t="n">
        <v>7</v>
      </c>
      <c r="C140" s="4" t="s">
        <v>153</v>
      </c>
      <c r="D140" s="5" t="n">
        <v>10</v>
      </c>
      <c r="E140" s="3" t="s">
        <v>120</v>
      </c>
      <c r="F140" s="7" t="n">
        <v>0.5</v>
      </c>
      <c r="G140" s="7" t="n">
        <v>0.5</v>
      </c>
      <c r="H140" s="7" t="n">
        <v>0</v>
      </c>
      <c r="I140" s="5" t="n">
        <f aca="false">D140*F140</f>
        <v>5</v>
      </c>
      <c r="J140" s="5" t="n">
        <f aca="false">D140*G140</f>
        <v>5</v>
      </c>
      <c r="K140" s="5" t="n">
        <f aca="false">D140*H140</f>
        <v>0</v>
      </c>
      <c r="L140" s="4" t="s">
        <v>121</v>
      </c>
      <c r="M140" s="3" t="s">
        <v>17</v>
      </c>
    </row>
    <row r="141" customFormat="false" ht="21.75" hidden="false" customHeight="true" outlineLevel="0" collapsed="false">
      <c r="A141" s="3"/>
      <c r="B141" s="3" t="n">
        <v>8</v>
      </c>
      <c r="C141" s="4" t="s">
        <v>123</v>
      </c>
      <c r="D141" s="5" t="n">
        <v>9</v>
      </c>
      <c r="E141" s="3" t="s">
        <v>120</v>
      </c>
      <c r="F141" s="7" t="n">
        <v>0.5</v>
      </c>
      <c r="G141" s="7" t="n">
        <v>0.5</v>
      </c>
      <c r="H141" s="7" t="n">
        <v>0</v>
      </c>
      <c r="I141" s="5" t="n">
        <f aca="false">D141*F141</f>
        <v>4.5</v>
      </c>
      <c r="J141" s="5" t="n">
        <f aca="false">D141*G141</f>
        <v>4.5</v>
      </c>
      <c r="K141" s="5" t="n">
        <f aca="false">D141*H141</f>
        <v>0</v>
      </c>
      <c r="L141" s="4" t="s">
        <v>121</v>
      </c>
      <c r="M141" s="3" t="s">
        <v>17</v>
      </c>
    </row>
    <row r="142" customFormat="false" ht="15" hidden="false" customHeight="true" outlineLevel="0" collapsed="false">
      <c r="A142" s="10" t="s">
        <v>159</v>
      </c>
      <c r="B142" s="11"/>
      <c r="C142" s="11"/>
      <c r="D142" s="12" t="n">
        <f aca="false">SUM(D2:D141)</f>
        <v>6152.09</v>
      </c>
      <c r="E142" s="11"/>
      <c r="F142" s="11"/>
      <c r="G142" s="11"/>
      <c r="H142" s="11"/>
      <c r="I142" s="12" t="n">
        <f aca="false">SUM(I2:I141)</f>
        <v>1325.12384</v>
      </c>
      <c r="J142" s="12" t="n">
        <f aca="false">SUM(J2:J141)</f>
        <v>4717.96616</v>
      </c>
      <c r="K142" s="12" t="n">
        <f aca="false">SUM(K2:K141)</f>
        <v>109</v>
      </c>
      <c r="L142" s="11"/>
      <c r="M14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4"/>
    <col collapsed="false" customWidth="true" hidden="false" outlineLevel="0" max="5" min="5" style="1" width="12"/>
    <col collapsed="false" customWidth="true" hidden="false" outlineLevel="0" max="7" min="6" style="1" width="10"/>
  </cols>
  <sheetData>
    <row r="1" customFormat="false" ht="15" hidden="false" customHeight="true" outlineLevel="0" collapsed="false">
      <c r="A1" s="2" t="s">
        <v>0</v>
      </c>
      <c r="B1" s="2" t="s">
        <v>160</v>
      </c>
      <c r="C1" s="2" t="s">
        <v>161</v>
      </c>
      <c r="D1" s="2" t="s">
        <v>15</v>
      </c>
      <c r="E1" s="2" t="s">
        <v>149</v>
      </c>
      <c r="F1" s="2" t="s">
        <v>5</v>
      </c>
      <c r="G1" s="2" t="s">
        <v>6</v>
      </c>
    </row>
    <row r="2" customFormat="false" ht="15" hidden="false" customHeight="true" outlineLevel="0" collapsed="false">
      <c r="A2" s="13" t="s">
        <v>13</v>
      </c>
      <c r="B2" s="14" t="n">
        <f aca="false">SUM('Línea a línea'!D2:D95)</f>
        <v>4803.37</v>
      </c>
      <c r="C2" s="14" t="n">
        <f aca="false">SUM('Línea a línea'!I2:I95)</f>
        <v>859.89804</v>
      </c>
      <c r="D2" s="14" t="n">
        <f aca="false">SUM('Línea a línea'!J2:J95)</f>
        <v>3943.47196</v>
      </c>
      <c r="E2" s="14" t="n">
        <f aca="false">SUM('Línea a línea'!K2:K95)</f>
        <v>0</v>
      </c>
      <c r="F2" s="15" t="n">
        <f aca="false">C2/(C2+D2)</f>
        <v>0.179019738225454</v>
      </c>
      <c r="G2" s="15" t="n">
        <f aca="false">D2/(C2+D2)</f>
        <v>0.820980261774546</v>
      </c>
    </row>
    <row r="3" customFormat="false" ht="15" hidden="false" customHeight="true" outlineLevel="0" collapsed="false">
      <c r="A3" s="13" t="s">
        <v>124</v>
      </c>
      <c r="B3" s="14" t="n">
        <f aca="false">SUM('Línea a línea'!D96:D112)</f>
        <v>161.13</v>
      </c>
      <c r="C3" s="14" t="n">
        <f aca="false">SUM('Línea a línea'!I96:I112)</f>
        <v>66.4884</v>
      </c>
      <c r="D3" s="14" t="n">
        <f aca="false">SUM('Línea a línea'!J96:J112)</f>
        <v>94.6416</v>
      </c>
      <c r="E3" s="14" t="n">
        <f aca="false">SUM('Línea a línea'!K96:K112)</f>
        <v>0</v>
      </c>
      <c r="F3" s="15" t="n">
        <f aca="false">C3/(C3+D3)</f>
        <v>0.412638242412959</v>
      </c>
      <c r="G3" s="15" t="n">
        <f aca="false">D3/(C3+D3)</f>
        <v>0.587361757587042</v>
      </c>
    </row>
    <row r="4" customFormat="false" ht="15" hidden="false" customHeight="true" outlineLevel="0" collapsed="false">
      <c r="A4" s="13" t="s">
        <v>136</v>
      </c>
      <c r="B4" s="14" t="n">
        <f aca="false">SUM('Línea a línea'!D113:D133)</f>
        <v>1037.22</v>
      </c>
      <c r="C4" s="14" t="n">
        <f aca="false">SUM('Línea a línea'!I113:I133)</f>
        <v>323.5524</v>
      </c>
      <c r="D4" s="14" t="n">
        <f aca="false">SUM('Línea a línea'!J113:J133)</f>
        <v>604.6676</v>
      </c>
      <c r="E4" s="14" t="n">
        <f aca="false">SUM('Línea a línea'!K113:K133)</f>
        <v>109</v>
      </c>
      <c r="F4" s="15" t="n">
        <f aca="false">C4/(C4+D4)</f>
        <v>0.348572967615436</v>
      </c>
      <c r="G4" s="15" t="n">
        <f aca="false">D4/(C4+D4)</f>
        <v>0.651427032384564</v>
      </c>
    </row>
    <row r="5" customFormat="false" ht="15" hidden="false" customHeight="true" outlineLevel="0" collapsed="false">
      <c r="A5" s="13" t="s">
        <v>154</v>
      </c>
      <c r="B5" s="14" t="n">
        <f aca="false">SUM('Línea a línea'!D134:D141)</f>
        <v>150.37</v>
      </c>
      <c r="C5" s="14" t="n">
        <f aca="false">SUM('Línea a línea'!I134:I141)</f>
        <v>75.185</v>
      </c>
      <c r="D5" s="14" t="n">
        <f aca="false">SUM('Línea a línea'!J134:J141)</f>
        <v>75.185</v>
      </c>
      <c r="E5" s="14" t="n">
        <f aca="false">SUM('Línea a línea'!K134:K141)</f>
        <v>0</v>
      </c>
      <c r="F5" s="15" t="n">
        <f aca="false">C5/(C5+D5)</f>
        <v>0.5</v>
      </c>
      <c r="G5" s="15" t="n">
        <f aca="false">D5/(C5+D5)</f>
        <v>0.5</v>
      </c>
    </row>
    <row r="6" customFormat="false" ht="15" hidden="false" customHeight="true" outlineLevel="0" collapsed="false">
      <c r="A6" s="16" t="s">
        <v>162</v>
      </c>
      <c r="B6" s="17" t="n">
        <f aca="false">SUM(B2:B5)</f>
        <v>6152.09</v>
      </c>
      <c r="C6" s="17" t="n">
        <f aca="false">SUM(C2:C5)</f>
        <v>1325.12384</v>
      </c>
      <c r="D6" s="17" t="n">
        <f aca="false">SUM(D2:D5)</f>
        <v>4717.96616</v>
      </c>
      <c r="E6" s="17" t="n">
        <f aca="false">SUM(E2:E5)</f>
        <v>109</v>
      </c>
      <c r="F6" s="18" t="n">
        <f aca="false">C6/(C6+D6)</f>
        <v>0.219279183331706</v>
      </c>
      <c r="G6" s="18" t="n">
        <f aca="false">D6/(C6+D6)</f>
        <v>0.780720816668294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4" min="3" style="1" width="13"/>
    <col collapsed="false" customWidth="true" hidden="false" outlineLevel="0" max="5" min="5" style="1" width="14"/>
    <col collapsed="false" customWidth="true" hidden="false" outlineLevel="0" max="6" min="6" style="1" width="36"/>
  </cols>
  <sheetData>
    <row r="1" customFormat="false" ht="15" hidden="false" customHeight="true" outlineLevel="0" collapsed="false">
      <c r="A1" s="2" t="s">
        <v>163</v>
      </c>
      <c r="B1" s="2" t="s">
        <v>164</v>
      </c>
      <c r="C1" s="2" t="s">
        <v>161</v>
      </c>
      <c r="D1" s="2" t="s">
        <v>15</v>
      </c>
      <c r="E1" s="2" t="s">
        <v>165</v>
      </c>
      <c r="F1" s="2" t="s">
        <v>166</v>
      </c>
    </row>
    <row r="2" customFormat="false" ht="15" hidden="false" customHeight="true" outlineLevel="0" collapsed="false">
      <c r="A2" s="13" t="s">
        <v>167</v>
      </c>
      <c r="B2" s="14" t="n">
        <v>16335</v>
      </c>
      <c r="C2" s="14" t="n">
        <v>6900</v>
      </c>
      <c r="D2" s="14" t="n">
        <v>9435</v>
      </c>
      <c r="E2" s="14" t="n">
        <v>0</v>
      </c>
      <c r="F2" s="13" t="s">
        <v>168</v>
      </c>
    </row>
    <row r="3" customFormat="false" ht="15" hidden="false" customHeight="true" outlineLevel="0" collapsed="false">
      <c r="A3" s="13" t="s">
        <v>169</v>
      </c>
      <c r="B3" s="14" t="n">
        <f aca="false">'Resumen por factura'!B6</f>
        <v>6152.09</v>
      </c>
      <c r="C3" s="14" t="n">
        <f aca="false">'Resumen por factura'!C6</f>
        <v>1325.12384</v>
      </c>
      <c r="D3" s="14" t="n">
        <f aca="false">'Resumen por factura'!D6</f>
        <v>4717.96616</v>
      </c>
      <c r="E3" s="14" t="n">
        <f aca="false">'Resumen por factura'!E6</f>
        <v>109</v>
      </c>
      <c r="F3" s="13" t="s">
        <v>170</v>
      </c>
    </row>
    <row r="4" customFormat="false" ht="15" hidden="false" customHeight="true" outlineLevel="0" collapsed="false">
      <c r="A4" s="19" t="s">
        <v>171</v>
      </c>
      <c r="B4" s="20" t="n">
        <f aca="false">B2+B3</f>
        <v>22487.09</v>
      </c>
      <c r="C4" s="20" t="n">
        <f aca="false">C2+C3</f>
        <v>8225.12384</v>
      </c>
      <c r="D4" s="20" t="n">
        <f aca="false">D2+D3</f>
        <v>14152.96616</v>
      </c>
      <c r="E4" s="20" t="n">
        <f aca="false">E2+E3</f>
        <v>109</v>
      </c>
      <c r="F4" s="19" t="s">
        <v>172</v>
      </c>
    </row>
    <row r="5" customFormat="false" ht="15" hidden="false" customHeight="true" outlineLevel="0" collapsed="false">
      <c r="A5" s="13" t="s">
        <v>173</v>
      </c>
      <c r="B5" s="14" t="n">
        <v>1736.12</v>
      </c>
      <c r="C5" s="14" t="n">
        <v>0</v>
      </c>
      <c r="D5" s="14" t="n">
        <v>0</v>
      </c>
      <c r="E5" s="14" t="n">
        <v>0</v>
      </c>
      <c r="F5" s="13" t="s">
        <v>174</v>
      </c>
    </row>
    <row r="6" customFormat="false" ht="15" hidden="false" customHeight="true" outlineLevel="0" collapsed="false">
      <c r="A6" s="13" t="s">
        <v>175</v>
      </c>
      <c r="B6" s="14" t="n">
        <f aca="false">B4+B5</f>
        <v>24223.21</v>
      </c>
      <c r="C6" s="14"/>
      <c r="D6" s="14"/>
      <c r="E6" s="14"/>
      <c r="F6" s="13"/>
    </row>
    <row r="7" customFormat="false" ht="15" hidden="false" customHeight="true" outlineLevel="0" collapsed="false">
      <c r="A7" s="16"/>
      <c r="B7" s="21"/>
      <c r="C7" s="21"/>
      <c r="D7" s="21"/>
      <c r="E7" s="21"/>
      <c r="F7" s="16"/>
    </row>
    <row r="9" customFormat="false" ht="15" hidden="false" customHeight="true" outlineLevel="0" collapsed="false">
      <c r="A9" s="22" t="s">
        <v>176</v>
      </c>
      <c r="B9" s="22"/>
      <c r="C9" s="22"/>
      <c r="D9" s="22"/>
      <c r="E9" s="22"/>
      <c r="F9" s="22"/>
    </row>
    <row r="10" customFormat="false" ht="15" hidden="false" customHeight="true" outlineLevel="0" collapsed="false">
      <c r="A10" s="22"/>
      <c r="B10" s="22"/>
      <c r="C10" s="22"/>
      <c r="D10" s="22"/>
      <c r="E10" s="22"/>
      <c r="F10" s="22"/>
    </row>
    <row r="11" customFormat="false" ht="15" hidden="false" customHeight="true" outlineLevel="0" collapsed="false">
      <c r="A11" s="22"/>
      <c r="B11" s="22"/>
      <c r="C11" s="22"/>
      <c r="D11" s="22"/>
      <c r="E11" s="22"/>
      <c r="F11" s="22"/>
    </row>
  </sheetData>
  <mergeCells count="1">
    <mergeCell ref="A9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2026-06-14T12:25:23Z</dcterms:created>
  <dc:creator>openpyxl</dc:creator>
  <dc:description/>
  <dc:language>en-US</dc:language>
  <cp:lastModifiedBy/>
  <dcterms:modified xsi:type="dcterms:W3CDTF">2026-06-14T12:25:53Z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